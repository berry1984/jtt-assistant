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804"/>
  </bookViews>
  <sheets>
    <sheet name="6.4周" sheetId="42" r:id="rId1"/>
  </sheets>
  <externalReferences>
    <externalReference r:id="rId2"/>
  </externalReferences>
  <definedNames>
    <definedName name="_xlnm._FilterDatabase" localSheetId="0" hidden="1">'6.4周'!$A$1:$M$9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<sst xmlns="http://schemas.openxmlformats.org/spreadsheetml/2006/main" count="36" uniqueCount="23">
  <si>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物流渠道</t>
  </si>
  <si>
    <t>后台仓库</t>
  </si>
  <si>
    <t>应收单价</t>
  </si>
  <si>
    <t>求和项:总重量(kg)</t>
  </si>
  <si>
    <t>求和项:总体积（m³)</t>
  </si>
  <si>
    <t>求和项:箱数</t>
  </si>
  <si>
    <t>供应商渠道</t>
  </si>
  <si>
    <t>应付单价</t>
  </si>
  <si>
    <t>利润预估</t>
  </si>
  <si>
    <t>报关费预估</t>
  </si>
  <si>
    <t>成本单价</t>
  </si>
  <si>
    <t>美国超快线-卡派</t>
  </si>
  <si>
    <t>RFD2</t>
  </si>
  <si>
    <t>天图-洛杉矶EXX16日达-卡派（EXX）</t>
  </si>
  <si>
    <t>200合并报关</t>
  </si>
  <si>
    <t>LGB8</t>
  </si>
  <si>
    <t>IAH3</t>
  </si>
  <si>
    <t>欧洲含税-铁路快铁卡派</t>
  </si>
  <si>
    <t>HAJ1</t>
  </si>
  <si>
    <t>航乐-欧洲铁路包税-专仓卡派专线（按KG）</t>
  </si>
  <si>
    <t>报关费300</t>
  </si>
  <si>
    <t>WRO5</t>
  </si>
  <si>
    <t>DTM1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</si>
</sst>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  <xf numFmtId="0" fontId="23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0" fillId="0" borderId="0" applyBorder="0">
      <alignment vertical="center"/>
    </xf>
    <xf numFmtId="0" fontId="24" fillId="0" borderId="0"/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9" fontId="1" fillId="2" borderId="2" xfId="3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3" applyNumberFormat="1" applyFont="1" applyAlignment="1">
      <alignment horizontal="center" vertical="center"/>
    </xf>
    <xf numFmtId="0" fontId="3" fillId="0" borderId="0" xfId="0" applyFont="1">
      <alignment vertical="center"/>
    </xf>
    <xf numFmtId="58" fontId="1" fillId="0" borderId="0" xfId="0" applyNumberFormat="1" applyFont="1" applyAlignment="1">
      <alignment vertical="center" wrapText="1"/>
    </xf>
    <xf numFmtId="58" fontId="1" fillId="0" borderId="0" xfId="0" applyNumberFormat="1" applyFo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  <cellStyle name="常规 11 4" xfId="53"/>
    <cellStyle name="常规 6" xfId="54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UAWEI\Documents\WXWork\1688856304872882\Cache\File\2026-06\&#22825;&#22270;&#36890;&#36874;&#33521;&#32654;&#21152;&#21516;&#34892;VIP&#20215;&#25253;&#20215;6.4&#25191;&#34892;&#26102;&#38388;14&#65306;0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关于我们"/>
      <sheetName val="价格查询表"/>
      <sheetName val="价格查询表-间接版"/>
      <sheetName val="定位"/>
      <sheetName val="偏远邮编库"/>
      <sheetName val="出运计划-海运"/>
      <sheetName val="出运计划 -陆运"/>
      <sheetName val="FBA预计送达周"/>
      <sheetName val="发货须知-美国&amp;英国"/>
      <sheetName val="英国价格查询表"/>
      <sheetName val="美国海运查询表 (2)"/>
      <sheetName val="发货须知 -加拿大"/>
      <sheetName val="越美系列"/>
      <sheetName val="越美整柜订舱"/>
      <sheetName val="越美整柜直送"/>
      <sheetName val="越南陆运正报系列"/>
      <sheetName val="越南陆运双清系列"/>
      <sheetName val="越南区域表"/>
      <sheetName val="英国铁运专线(18-23)"/>
      <sheetName val="英国中英专车(20-25)"/>
      <sheetName val="苏新号-英国卡航20日达"/>
      <sheetName val="英国海运-卡派(23-40) "/>
      <sheetName val="英国海运-海派(23-40)"/>
      <sheetName val="英国商私地址"/>
      <sheetName val="美转加-普船系列"/>
      <sheetName val="美转加-合德系列"/>
      <sheetName val="美转加-EXX美森系列"/>
      <sheetName val="美转加-美森MAX系列"/>
      <sheetName val="美转加-美森CLX系列"/>
      <sheetName val="加拿大直航-普船系列"/>
      <sheetName val="加拿大普船-特惠系列"/>
      <sheetName val="加拿大多伦多商业、私人地址系列"/>
      <sheetName val="加拿大卡尔加里商业、私人地址系列"/>
      <sheetName val="加拿大商业地址卡派报价注意事项"/>
      <sheetName val="美国快递"/>
      <sheetName val="美西直送系列"/>
      <sheetName val="美西-美森(12-17)"/>
      <sheetName val="美西-以星&amp;普船(17-26)"/>
      <sheetName val="美西北"/>
      <sheetName val="美东直航系列"/>
      <sheetName val="美东-海铁系列"/>
      <sheetName val="美东南直航系列"/>
      <sheetName val="美东南海陆系列"/>
      <sheetName val="美中-休斯顿"/>
      <sheetName val="美中-芝加哥"/>
      <sheetName val="美西90-92邮编系列"/>
      <sheetName val="芝加哥60邮编系列"/>
      <sheetName val="纽约07-08邮编系列"/>
      <sheetName val="萨凡纳30-31邮编商业"/>
      <sheetName val="休斯顿77邮编系列"/>
      <sheetName val="Tiktok-专线"/>
      <sheetName val="小包系列-新"/>
      <sheetName val="美国小包系列"/>
      <sheetName val="加拿大小包系列"/>
      <sheetName val="UPS 加拿大偏远地区邮编"/>
      <sheetName val="UPS 加拿大境内分区表"/>
      <sheetName val="美国海外仓系列"/>
      <sheetName val="英国海外仓系列"/>
      <sheetName val="加拿大海外仓系列"/>
      <sheetName val="加拿大退换货系列"/>
      <sheetName val="自税清关费用明细"/>
      <sheetName val="入仓要求&amp;保险服务"/>
      <sheetName val="香港公司注册&amp;银行开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">
          <cell r="F1" t="str">
            <v>美国海运-美西系列</v>
          </cell>
        </row>
        <row r="2">
          <cell r="F2" t="str">
            <v>Western United States</v>
          </cell>
        </row>
        <row r="4">
          <cell r="A4" t="str">
            <v>仓库代码</v>
          </cell>
          <cell r="B4" t="str">
            <v>美森极速12日达-卡派（CLX）</v>
          </cell>
        </row>
        <row r="4">
          <cell r="X4" t="str">
            <v>洛杉矶CLX13日达-卡派（CLX）
此渠道为上海港开船时效，若因市场变化，调整为宁波港开船，时效赔付需顺延两个自然日</v>
          </cell>
        </row>
        <row r="4">
          <cell r="AT4" t="str">
            <v>洛杉矶MAX14日达-卡派</v>
          </cell>
        </row>
        <row r="4">
          <cell r="BP4" t="str">
            <v>洛杉矶EXX16日达-卡派（EXX）</v>
          </cell>
        </row>
        <row r="5">
          <cell r="B5" t="str">
            <v>包税-50kg+
（WM仓库100KG+）</v>
          </cell>
        </row>
        <row r="5">
          <cell r="L5" t="str">
            <v>不包税-0.5CBM+</v>
          </cell>
        </row>
        <row r="5">
          <cell r="V5" t="str">
            <v>签收时效
开船后
入仓时效</v>
          </cell>
          <cell r="W5" t="str">
            <v>延时赔付
开船后
不入仓时效</v>
          </cell>
          <cell r="X5" t="str">
            <v>包税-50kg+
（WM仓库100KG+）</v>
          </cell>
        </row>
        <row r="5">
          <cell r="AH5" t="str">
            <v>不包税-0.5CBM+</v>
          </cell>
        </row>
        <row r="5">
          <cell r="AR5" t="str">
            <v>签收时效
开船后
入仓时效</v>
          </cell>
          <cell r="AS5" t="str">
            <v>延时赔付
开船后
不入仓时效</v>
          </cell>
          <cell r="AT5" t="str">
            <v>包税-50kg+
（WM仓库100KG+）</v>
          </cell>
        </row>
        <row r="5">
          <cell r="BD5" t="str">
            <v>不包税-0.5CBM+</v>
          </cell>
        </row>
        <row r="5">
          <cell r="BN5" t="str">
            <v>签收时效
开船后
入仓时效</v>
          </cell>
          <cell r="BO5" t="str">
            <v>延时赔付
开船后
不入仓时效
</v>
          </cell>
          <cell r="BP5" t="str">
            <v>包税-50kg+
（WM仓库100KG+）</v>
          </cell>
        </row>
        <row r="6">
          <cell r="B6" t="str">
            <v>华南</v>
          </cell>
          <cell r="C6" t="str">
            <v>重庆</v>
          </cell>
          <cell r="D6" t="str">
            <v>汕头</v>
          </cell>
          <cell r="E6" t="str">
            <v>厦门/泉州/福州</v>
          </cell>
          <cell r="F6" t="str">
            <v>华东</v>
          </cell>
          <cell r="G6" t="str">
            <v>青岛/郑州/温州/台州/连云港/南京/合肥</v>
          </cell>
          <cell r="H6" t="str">
            <v>天津/南昌/石家庄</v>
          </cell>
          <cell r="I6" t="str">
            <v>济南/潍坊</v>
          </cell>
          <cell r="J6" t="str">
            <v>西安/沧州/保定</v>
          </cell>
          <cell r="K6" t="str">
            <v>武汉/长沙/成都</v>
          </cell>
          <cell r="L6" t="str">
            <v>华南</v>
          </cell>
          <cell r="M6" t="str">
            <v>重庆</v>
          </cell>
          <cell r="N6" t="str">
            <v>汕头</v>
          </cell>
          <cell r="O6" t="str">
            <v>厦门/泉州/福州</v>
          </cell>
          <cell r="P6" t="str">
            <v>华东</v>
          </cell>
          <cell r="Q6" t="str">
            <v>青岛/郑州/温州/台州/连云港/南京/合肥</v>
          </cell>
          <cell r="R6" t="str">
            <v>天津/南昌/石家庄</v>
          </cell>
          <cell r="S6" t="str">
            <v>济南/潍坊</v>
          </cell>
          <cell r="T6" t="str">
            <v>西安/沧州/保定</v>
          </cell>
          <cell r="U6" t="str">
            <v>武汉/长沙/成都</v>
          </cell>
        </row>
        <row r="6">
          <cell r="X6" t="str">
            <v>华南</v>
          </cell>
          <cell r="Y6" t="str">
            <v>重庆</v>
          </cell>
          <cell r="Z6" t="str">
            <v>汕头</v>
          </cell>
          <cell r="AA6" t="str">
            <v>厦门/泉州/福州</v>
          </cell>
          <cell r="AB6" t="str">
            <v>华东</v>
          </cell>
          <cell r="AC6" t="str">
            <v>青岛/郑州/温州/台州/连云港/南京/合肥</v>
          </cell>
          <cell r="AD6" t="str">
            <v>天津/南昌/石家庄</v>
          </cell>
          <cell r="AE6" t="str">
            <v>济南/潍坊</v>
          </cell>
          <cell r="AF6" t="str">
            <v>西安/沧州/保定</v>
          </cell>
          <cell r="AG6" t="str">
            <v>武汉/长沙/成都</v>
          </cell>
          <cell r="AH6" t="str">
            <v>华南</v>
          </cell>
          <cell r="AI6" t="str">
            <v>重庆</v>
          </cell>
          <cell r="AJ6" t="str">
            <v>汕头</v>
          </cell>
          <cell r="AK6" t="str">
            <v>厦门/泉州/福州</v>
          </cell>
          <cell r="AL6" t="str">
            <v>华东</v>
          </cell>
          <cell r="AM6" t="str">
            <v>青岛/郑州/温州/台州/连云港/南京/合肥</v>
          </cell>
          <cell r="AN6" t="str">
            <v>天津/南昌/石家庄</v>
          </cell>
          <cell r="AO6" t="str">
            <v>济南/潍坊</v>
          </cell>
          <cell r="AP6" t="str">
            <v>西安/沧州/保定</v>
          </cell>
          <cell r="AQ6" t="str">
            <v>武汉/长沙/成都</v>
          </cell>
        </row>
        <row r="6">
          <cell r="AT6" t="str">
            <v>华南</v>
          </cell>
          <cell r="AU6" t="str">
            <v>重庆</v>
          </cell>
          <cell r="AV6" t="str">
            <v>汕头</v>
          </cell>
          <cell r="AW6" t="str">
            <v>厦门/泉州/福州</v>
          </cell>
          <cell r="AX6" t="str">
            <v>华东</v>
          </cell>
          <cell r="AY6" t="str">
            <v>青岛/郑州/温州/台州/连云港/南京/合肥</v>
          </cell>
          <cell r="AZ6" t="str">
            <v>天津/南昌/石家庄</v>
          </cell>
          <cell r="BA6" t="str">
            <v>济南/潍坊</v>
          </cell>
          <cell r="BB6" t="str">
            <v>西安/沧州/保定</v>
          </cell>
          <cell r="BC6" t="str">
            <v>武汉/长沙/成都</v>
          </cell>
          <cell r="BD6" t="str">
            <v>华南</v>
          </cell>
          <cell r="BE6" t="str">
            <v>重庆</v>
          </cell>
          <cell r="BF6" t="str">
            <v>汕头</v>
          </cell>
          <cell r="BG6" t="str">
            <v>厦门/泉州/福州</v>
          </cell>
          <cell r="BH6" t="str">
            <v>华东</v>
          </cell>
          <cell r="BI6" t="str">
            <v>青岛/郑州/温州/台州/连云港/南京/合肥</v>
          </cell>
          <cell r="BJ6" t="str">
            <v>天津/南昌/石家庄</v>
          </cell>
          <cell r="BK6" t="str">
            <v>济南/潍坊</v>
          </cell>
          <cell r="BL6" t="str">
            <v>西安/沧州/保定</v>
          </cell>
          <cell r="BM6" t="str">
            <v>武汉/长沙/成都</v>
          </cell>
        </row>
        <row r="6">
          <cell r="BP6" t="str">
            <v>华南</v>
          </cell>
        </row>
        <row r="7">
          <cell r="A7" t="str">
            <v>ONT8</v>
          </cell>
          <cell r="B7">
            <v>14.8</v>
          </cell>
          <cell r="C7">
            <v>15.6</v>
          </cell>
          <cell r="D7">
            <v>15</v>
          </cell>
          <cell r="E7">
            <v>14.7</v>
          </cell>
          <cell r="F7">
            <v>14.3</v>
          </cell>
          <cell r="G7">
            <v>14.6</v>
          </cell>
          <cell r="H7">
            <v>14.9</v>
          </cell>
          <cell r="I7">
            <v>14.8</v>
          </cell>
          <cell r="J7">
            <v>15.1</v>
          </cell>
          <cell r="K7">
            <v>14.9</v>
          </cell>
          <cell r="L7">
            <v>2490</v>
          </cell>
          <cell r="M7">
            <v>2632</v>
          </cell>
          <cell r="N7">
            <v>2525</v>
          </cell>
          <cell r="O7">
            <v>2463</v>
          </cell>
          <cell r="P7">
            <v>2392</v>
          </cell>
          <cell r="Q7">
            <v>2445</v>
          </cell>
          <cell r="R7">
            <v>2498</v>
          </cell>
          <cell r="S7">
            <v>2481</v>
          </cell>
          <cell r="T7">
            <v>2534</v>
          </cell>
          <cell r="U7">
            <v>2498</v>
          </cell>
          <cell r="V7" t="str">
            <v>11-12日</v>
          </cell>
          <cell r="W7" t="str">
            <v>超13日</v>
          </cell>
          <cell r="X7">
            <v>11.2</v>
          </cell>
          <cell r="Y7">
            <v>12</v>
          </cell>
          <cell r="Z7">
            <v>11.4</v>
          </cell>
          <cell r="AA7">
            <v>11.1</v>
          </cell>
          <cell r="AB7">
            <v>10.7</v>
          </cell>
          <cell r="AC7">
            <v>11</v>
          </cell>
          <cell r="AD7">
            <v>11.3</v>
          </cell>
          <cell r="AE7">
            <v>11.2</v>
          </cell>
          <cell r="AF7">
            <v>11.5</v>
          </cell>
          <cell r="AG7">
            <v>11.3</v>
          </cell>
          <cell r="AH7">
            <v>2034</v>
          </cell>
          <cell r="AI7">
            <v>2176</v>
          </cell>
          <cell r="AJ7">
            <v>2069</v>
          </cell>
          <cell r="AK7">
            <v>1989</v>
          </cell>
          <cell r="AL7">
            <v>1936</v>
          </cell>
          <cell r="AM7">
            <v>1989</v>
          </cell>
          <cell r="AN7">
            <v>2042</v>
          </cell>
          <cell r="AO7">
            <v>2025</v>
          </cell>
          <cell r="AP7">
            <v>2078</v>
          </cell>
          <cell r="AQ7">
            <v>2042</v>
          </cell>
          <cell r="AR7" t="str">
            <v>12-13日</v>
          </cell>
          <cell r="AS7" t="str">
            <v>超15日</v>
          </cell>
          <cell r="AT7">
            <v>10.4</v>
          </cell>
          <cell r="AU7">
            <v>11.2</v>
          </cell>
          <cell r="AV7">
            <v>10.6</v>
          </cell>
          <cell r="AW7">
            <v>10.3</v>
          </cell>
          <cell r="AX7">
            <v>9.9</v>
          </cell>
          <cell r="AY7">
            <v>10.2</v>
          </cell>
          <cell r="AZ7">
            <v>10.5</v>
          </cell>
          <cell r="BA7">
            <v>10.4</v>
          </cell>
          <cell r="BB7">
            <v>10.7</v>
          </cell>
          <cell r="BC7">
            <v>10.5</v>
          </cell>
          <cell r="BD7">
            <v>1893</v>
          </cell>
          <cell r="BE7">
            <v>2035</v>
          </cell>
          <cell r="BF7">
            <v>1928</v>
          </cell>
          <cell r="BG7">
            <v>1848</v>
          </cell>
          <cell r="BH7">
            <v>1795</v>
          </cell>
          <cell r="BI7">
            <v>1848</v>
          </cell>
          <cell r="BJ7">
            <v>1901</v>
          </cell>
          <cell r="BK7">
            <v>1884</v>
          </cell>
          <cell r="BL7">
            <v>1937</v>
          </cell>
          <cell r="BM7">
            <v>1901</v>
          </cell>
          <cell r="BN7" t="str">
            <v>13-14日</v>
          </cell>
          <cell r="BO7" t="str">
            <v>超16日</v>
          </cell>
          <cell r="BP7">
            <v>8</v>
          </cell>
        </row>
        <row r="8">
          <cell r="A8" t="str">
            <v>LGB8</v>
          </cell>
          <cell r="B8">
            <v>14.8</v>
          </cell>
          <cell r="C8">
            <v>15.6</v>
          </cell>
          <cell r="D8">
            <v>15</v>
          </cell>
          <cell r="E8">
            <v>14.7</v>
          </cell>
          <cell r="F8">
            <v>14.3</v>
          </cell>
          <cell r="G8">
            <v>14.6</v>
          </cell>
          <cell r="H8">
            <v>14.9</v>
          </cell>
          <cell r="I8">
            <v>14.8</v>
          </cell>
          <cell r="J8">
            <v>15.1</v>
          </cell>
          <cell r="K8">
            <v>14.9</v>
          </cell>
          <cell r="L8">
            <v>2490</v>
          </cell>
          <cell r="M8">
            <v>2632</v>
          </cell>
          <cell r="N8">
            <v>2525</v>
          </cell>
          <cell r="O8">
            <v>2463</v>
          </cell>
          <cell r="P8">
            <v>2392</v>
          </cell>
          <cell r="Q8">
            <v>2445</v>
          </cell>
          <cell r="R8">
            <v>2498</v>
          </cell>
          <cell r="S8">
            <v>2481</v>
          </cell>
          <cell r="T8">
            <v>2534</v>
          </cell>
          <cell r="U8">
            <v>2498</v>
          </cell>
          <cell r="V8" t="str">
            <v>11-12日</v>
          </cell>
          <cell r="W8" t="str">
            <v>超13日</v>
          </cell>
          <cell r="X8">
            <v>11.2</v>
          </cell>
          <cell r="Y8">
            <v>12</v>
          </cell>
          <cell r="Z8">
            <v>11.4</v>
          </cell>
          <cell r="AA8">
            <v>11.1</v>
          </cell>
          <cell r="AB8">
            <v>10.7</v>
          </cell>
          <cell r="AC8">
            <v>11</v>
          </cell>
          <cell r="AD8">
            <v>11.3</v>
          </cell>
          <cell r="AE8">
            <v>11.2</v>
          </cell>
          <cell r="AF8">
            <v>11.5</v>
          </cell>
          <cell r="AG8">
            <v>11.3</v>
          </cell>
          <cell r="AH8">
            <v>2034</v>
          </cell>
          <cell r="AI8">
            <v>2176</v>
          </cell>
          <cell r="AJ8">
            <v>2069</v>
          </cell>
          <cell r="AK8">
            <v>1989</v>
          </cell>
          <cell r="AL8">
            <v>1936</v>
          </cell>
          <cell r="AM8">
            <v>1989</v>
          </cell>
          <cell r="AN8">
            <v>2042</v>
          </cell>
          <cell r="AO8">
            <v>2025</v>
          </cell>
          <cell r="AP8">
            <v>2078</v>
          </cell>
          <cell r="AQ8">
            <v>2042</v>
          </cell>
          <cell r="AR8" t="str">
            <v>12-14日</v>
          </cell>
          <cell r="AS8" t="str">
            <v>超15日</v>
          </cell>
          <cell r="AT8">
            <v>10.4</v>
          </cell>
          <cell r="AU8">
            <v>11.2</v>
          </cell>
          <cell r="AV8">
            <v>10.6</v>
          </cell>
          <cell r="AW8">
            <v>10.3</v>
          </cell>
          <cell r="AX8">
            <v>9.9</v>
          </cell>
          <cell r="AY8">
            <v>10.2</v>
          </cell>
          <cell r="AZ8">
            <v>10.5</v>
          </cell>
          <cell r="BA8">
            <v>10.4</v>
          </cell>
          <cell r="BB8">
            <v>10.7</v>
          </cell>
          <cell r="BC8">
            <v>10.5</v>
          </cell>
          <cell r="BD8">
            <v>1893</v>
          </cell>
          <cell r="BE8">
            <v>2035</v>
          </cell>
          <cell r="BF8">
            <v>1928</v>
          </cell>
          <cell r="BG8">
            <v>1848</v>
          </cell>
          <cell r="BH8">
            <v>1795</v>
          </cell>
          <cell r="BI8">
            <v>1848</v>
          </cell>
          <cell r="BJ8">
            <v>1901</v>
          </cell>
          <cell r="BK8">
            <v>1884</v>
          </cell>
          <cell r="BL8">
            <v>1937</v>
          </cell>
          <cell r="BM8">
            <v>1901</v>
          </cell>
          <cell r="BN8" t="str">
            <v>13-15日</v>
          </cell>
          <cell r="BO8" t="str">
            <v>超16日</v>
          </cell>
          <cell r="BP8">
            <v>8</v>
          </cell>
        </row>
        <row r="9">
          <cell r="A9" t="str">
            <v>LAX9</v>
          </cell>
          <cell r="B9">
            <v>14.8</v>
          </cell>
          <cell r="C9">
            <v>15.6</v>
          </cell>
          <cell r="D9">
            <v>15</v>
          </cell>
          <cell r="E9">
            <v>14.7</v>
          </cell>
          <cell r="F9">
            <v>14.3</v>
          </cell>
          <cell r="G9">
            <v>14.6</v>
          </cell>
          <cell r="H9">
            <v>14.9</v>
          </cell>
          <cell r="I9">
            <v>14.8</v>
          </cell>
          <cell r="J9">
            <v>15.1</v>
          </cell>
          <cell r="K9">
            <v>14.9</v>
          </cell>
          <cell r="L9">
            <v>2490</v>
          </cell>
          <cell r="M9">
            <v>2632</v>
          </cell>
          <cell r="N9">
            <v>2525</v>
          </cell>
          <cell r="O9">
            <v>2463</v>
          </cell>
          <cell r="P9">
            <v>2392</v>
          </cell>
          <cell r="Q9">
            <v>2445</v>
          </cell>
          <cell r="R9">
            <v>2498</v>
          </cell>
          <cell r="S9">
            <v>2481</v>
          </cell>
          <cell r="T9">
            <v>2534</v>
          </cell>
          <cell r="U9">
            <v>2498</v>
          </cell>
          <cell r="V9" t="str">
            <v>11-12日</v>
          </cell>
          <cell r="W9" t="str">
            <v>-</v>
          </cell>
          <cell r="X9">
            <v>11.2</v>
          </cell>
          <cell r="Y9">
            <v>12</v>
          </cell>
          <cell r="Z9">
            <v>11.4</v>
          </cell>
          <cell r="AA9">
            <v>11.1</v>
          </cell>
          <cell r="AB9">
            <v>10.7</v>
          </cell>
          <cell r="AC9">
            <v>11</v>
          </cell>
          <cell r="AD9">
            <v>11.3</v>
          </cell>
          <cell r="AE9">
            <v>11.2</v>
          </cell>
          <cell r="AF9">
            <v>11.5</v>
          </cell>
          <cell r="AG9">
            <v>11.3</v>
          </cell>
          <cell r="AH9">
            <v>2034</v>
          </cell>
          <cell r="AI9">
            <v>2176</v>
          </cell>
          <cell r="AJ9">
            <v>2069</v>
          </cell>
          <cell r="AK9">
            <v>1989</v>
          </cell>
          <cell r="AL9">
            <v>1936</v>
          </cell>
          <cell r="AM9">
            <v>1989</v>
          </cell>
          <cell r="AN9">
            <v>2042</v>
          </cell>
          <cell r="AO9">
            <v>2025</v>
          </cell>
          <cell r="AP9">
            <v>2078</v>
          </cell>
          <cell r="AQ9">
            <v>2042</v>
          </cell>
          <cell r="AR9" t="str">
            <v>12-15日</v>
          </cell>
          <cell r="AS9" t="str">
            <v>超15日</v>
          </cell>
          <cell r="AT9">
            <v>10.4</v>
          </cell>
          <cell r="AU9">
            <v>11.2</v>
          </cell>
          <cell r="AV9">
            <v>10.6</v>
          </cell>
          <cell r="AW9">
            <v>10.3</v>
          </cell>
          <cell r="AX9">
            <v>9.9</v>
          </cell>
          <cell r="AY9">
            <v>10.2</v>
          </cell>
          <cell r="AZ9">
            <v>10.5</v>
          </cell>
          <cell r="BA9">
            <v>10.4</v>
          </cell>
          <cell r="BB9">
            <v>10.7</v>
          </cell>
          <cell r="BC9">
            <v>10.5</v>
          </cell>
          <cell r="BD9">
            <v>1893</v>
          </cell>
          <cell r="BE9">
            <v>2035</v>
          </cell>
          <cell r="BF9">
            <v>1928</v>
          </cell>
          <cell r="BG9">
            <v>1848</v>
          </cell>
          <cell r="BH9">
            <v>1795</v>
          </cell>
          <cell r="BI9">
            <v>1848</v>
          </cell>
          <cell r="BJ9">
            <v>1901</v>
          </cell>
          <cell r="BK9">
            <v>1884</v>
          </cell>
          <cell r="BL9">
            <v>1937</v>
          </cell>
          <cell r="BM9">
            <v>1901</v>
          </cell>
          <cell r="BN9" t="str">
            <v>13-16日</v>
          </cell>
          <cell r="BO9" t="str">
            <v>超16日</v>
          </cell>
          <cell r="BP9">
            <v>8</v>
          </cell>
        </row>
        <row r="10">
          <cell r="A10" t="str">
            <v>SBD1</v>
          </cell>
          <cell r="B10">
            <v>14.8</v>
          </cell>
          <cell r="C10">
            <v>15.6</v>
          </cell>
          <cell r="D10">
            <v>15</v>
          </cell>
          <cell r="E10">
            <v>14.7</v>
          </cell>
          <cell r="F10">
            <v>14.3</v>
          </cell>
          <cell r="G10">
            <v>14.6</v>
          </cell>
          <cell r="H10">
            <v>14.9</v>
          </cell>
          <cell r="I10">
            <v>14.8</v>
          </cell>
          <cell r="J10">
            <v>15.1</v>
          </cell>
          <cell r="K10">
            <v>14.9</v>
          </cell>
          <cell r="L10">
            <v>2490</v>
          </cell>
          <cell r="M10">
            <v>2632</v>
          </cell>
          <cell r="N10">
            <v>2525</v>
          </cell>
          <cell r="O10">
            <v>2463</v>
          </cell>
          <cell r="P10">
            <v>2392</v>
          </cell>
          <cell r="Q10">
            <v>2445</v>
          </cell>
          <cell r="R10">
            <v>2498</v>
          </cell>
          <cell r="S10">
            <v>2481</v>
          </cell>
          <cell r="T10">
            <v>2534</v>
          </cell>
          <cell r="U10">
            <v>2498</v>
          </cell>
          <cell r="V10" t="str">
            <v>11-12日</v>
          </cell>
          <cell r="W10" t="str">
            <v>-</v>
          </cell>
          <cell r="X10">
            <v>11.2</v>
          </cell>
          <cell r="Y10">
            <v>12</v>
          </cell>
          <cell r="Z10">
            <v>11.4</v>
          </cell>
          <cell r="AA10">
            <v>11.1</v>
          </cell>
          <cell r="AB10">
            <v>10.7</v>
          </cell>
          <cell r="AC10">
            <v>11</v>
          </cell>
          <cell r="AD10">
            <v>11.3</v>
          </cell>
          <cell r="AE10">
            <v>11.2</v>
          </cell>
          <cell r="AF10">
            <v>11.5</v>
          </cell>
          <cell r="AG10">
            <v>11.3</v>
          </cell>
          <cell r="AH10">
            <v>2034</v>
          </cell>
          <cell r="AI10">
            <v>2176</v>
          </cell>
          <cell r="AJ10">
            <v>2069</v>
          </cell>
          <cell r="AK10">
            <v>1989</v>
          </cell>
          <cell r="AL10">
            <v>1936</v>
          </cell>
          <cell r="AM10">
            <v>1989</v>
          </cell>
          <cell r="AN10">
            <v>2042</v>
          </cell>
          <cell r="AO10">
            <v>2025</v>
          </cell>
          <cell r="AP10">
            <v>2078</v>
          </cell>
          <cell r="AQ10">
            <v>2042</v>
          </cell>
          <cell r="AR10" t="str">
            <v>12-15日</v>
          </cell>
          <cell r="AS10" t="str">
            <v>超15日</v>
          </cell>
          <cell r="AT10">
            <v>10.4</v>
          </cell>
          <cell r="AU10">
            <v>11.2</v>
          </cell>
          <cell r="AV10">
            <v>10.6</v>
          </cell>
          <cell r="AW10">
            <v>10.3</v>
          </cell>
          <cell r="AX10">
            <v>9.9</v>
          </cell>
          <cell r="AY10">
            <v>10.2</v>
          </cell>
          <cell r="AZ10">
            <v>10.5</v>
          </cell>
          <cell r="BA10">
            <v>10.4</v>
          </cell>
          <cell r="BB10">
            <v>10.7</v>
          </cell>
          <cell r="BC10">
            <v>10.5</v>
          </cell>
          <cell r="BD10">
            <v>1893</v>
          </cell>
          <cell r="BE10">
            <v>2035</v>
          </cell>
          <cell r="BF10">
            <v>1928</v>
          </cell>
          <cell r="BG10">
            <v>1848</v>
          </cell>
          <cell r="BH10">
            <v>1795</v>
          </cell>
          <cell r="BI10">
            <v>1848</v>
          </cell>
          <cell r="BJ10">
            <v>1901</v>
          </cell>
          <cell r="BK10">
            <v>1884</v>
          </cell>
          <cell r="BL10">
            <v>1937</v>
          </cell>
          <cell r="BM10">
            <v>1901</v>
          </cell>
          <cell r="BN10" t="str">
            <v>13-16日</v>
          </cell>
          <cell r="BO10" t="str">
            <v>超16日</v>
          </cell>
          <cell r="BP10">
            <v>8</v>
          </cell>
        </row>
        <row r="11">
          <cell r="A11" t="str">
            <v>POC1</v>
          </cell>
          <cell r="B11" t="str">
            <v>-</v>
          </cell>
          <cell r="C11" t="str">
            <v>-</v>
          </cell>
          <cell r="D11" t="str">
            <v>-</v>
          </cell>
          <cell r="E11" t="str">
            <v>-</v>
          </cell>
          <cell r="F11" t="str">
            <v>-</v>
          </cell>
          <cell r="G11" t="str">
            <v>-</v>
          </cell>
          <cell r="H11" t="str">
            <v>-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  <cell r="V11" t="str">
            <v>-</v>
          </cell>
          <cell r="W11" t="str">
            <v>-</v>
          </cell>
          <cell r="X11">
            <v>11.3</v>
          </cell>
          <cell r="Y11">
            <v>12.1</v>
          </cell>
          <cell r="Z11">
            <v>11.5</v>
          </cell>
          <cell r="AA11">
            <v>11.2</v>
          </cell>
          <cell r="AB11">
            <v>10.8</v>
          </cell>
          <cell r="AC11">
            <v>11.1</v>
          </cell>
          <cell r="AD11">
            <v>11.4</v>
          </cell>
          <cell r="AE11">
            <v>11.3</v>
          </cell>
          <cell r="AF11">
            <v>11.6</v>
          </cell>
          <cell r="AG11">
            <v>11.4</v>
          </cell>
          <cell r="AH11">
            <v>2055</v>
          </cell>
          <cell r="AI11">
            <v>2197</v>
          </cell>
          <cell r="AJ11">
            <v>2090</v>
          </cell>
          <cell r="AK11">
            <v>2009</v>
          </cell>
          <cell r="AL11">
            <v>1956</v>
          </cell>
          <cell r="AM11">
            <v>2009</v>
          </cell>
          <cell r="AN11">
            <v>2062</v>
          </cell>
          <cell r="AO11">
            <v>2045</v>
          </cell>
          <cell r="AP11">
            <v>2098</v>
          </cell>
          <cell r="AQ11">
            <v>2062</v>
          </cell>
          <cell r="AR11" t="str">
            <v>12-13日</v>
          </cell>
          <cell r="AS11" t="str">
            <v>-</v>
          </cell>
          <cell r="AT11">
            <v>10.5</v>
          </cell>
          <cell r="AU11">
            <v>11.3</v>
          </cell>
          <cell r="AV11">
            <v>10.7</v>
          </cell>
          <cell r="AW11">
            <v>10.4</v>
          </cell>
          <cell r="AX11">
            <v>10</v>
          </cell>
          <cell r="AY11">
            <v>10.3</v>
          </cell>
          <cell r="AZ11">
            <v>10.6</v>
          </cell>
          <cell r="BA11">
            <v>10.5</v>
          </cell>
          <cell r="BB11">
            <v>10.8</v>
          </cell>
          <cell r="BC11">
            <v>10.6</v>
          </cell>
          <cell r="BD11">
            <v>1914</v>
          </cell>
          <cell r="BE11">
            <v>2056</v>
          </cell>
          <cell r="BF11">
            <v>1949</v>
          </cell>
          <cell r="BG11">
            <v>1868</v>
          </cell>
          <cell r="BH11">
            <v>1815</v>
          </cell>
          <cell r="BI11">
            <v>1868</v>
          </cell>
          <cell r="BJ11">
            <v>1921</v>
          </cell>
          <cell r="BK11">
            <v>1904</v>
          </cell>
          <cell r="BL11">
            <v>1957</v>
          </cell>
          <cell r="BM11">
            <v>1921</v>
          </cell>
          <cell r="BN11" t="str">
            <v>13-14日</v>
          </cell>
          <cell r="BO11" t="str">
            <v>-</v>
          </cell>
          <cell r="BP11">
            <v>8.1</v>
          </cell>
        </row>
        <row r="12">
          <cell r="A12" t="str">
            <v>POC2</v>
          </cell>
          <cell r="B12" t="str">
            <v>-</v>
          </cell>
          <cell r="C12" t="str">
            <v>-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>-</v>
          </cell>
          <cell r="X12">
            <v>11.3</v>
          </cell>
          <cell r="Y12">
            <v>12.1</v>
          </cell>
          <cell r="Z12">
            <v>11.5</v>
          </cell>
          <cell r="AA12">
            <v>11.2</v>
          </cell>
          <cell r="AB12">
            <v>10.8</v>
          </cell>
          <cell r="AC12">
            <v>11.1</v>
          </cell>
          <cell r="AD12">
            <v>11.4</v>
          </cell>
          <cell r="AE12">
            <v>11.3</v>
          </cell>
          <cell r="AF12">
            <v>11.6</v>
          </cell>
          <cell r="AG12">
            <v>11.4</v>
          </cell>
          <cell r="AH12">
            <v>2055</v>
          </cell>
          <cell r="AI12">
            <v>2197</v>
          </cell>
          <cell r="AJ12">
            <v>2090</v>
          </cell>
          <cell r="AK12">
            <v>2009</v>
          </cell>
          <cell r="AL12">
            <v>1956</v>
          </cell>
          <cell r="AM12">
            <v>2009</v>
          </cell>
          <cell r="AN12">
            <v>2062</v>
          </cell>
          <cell r="AO12">
            <v>2045</v>
          </cell>
          <cell r="AP12">
            <v>2098</v>
          </cell>
          <cell r="AQ12">
            <v>2062</v>
          </cell>
          <cell r="AR12" t="str">
            <v>12-13日</v>
          </cell>
          <cell r="AS12" t="str">
            <v>-</v>
          </cell>
          <cell r="AT12">
            <v>10.5</v>
          </cell>
          <cell r="AU12">
            <v>11.3</v>
          </cell>
          <cell r="AV12">
            <v>10.7</v>
          </cell>
          <cell r="AW12">
            <v>10.4</v>
          </cell>
          <cell r="AX12">
            <v>10</v>
          </cell>
          <cell r="AY12">
            <v>10.3</v>
          </cell>
          <cell r="AZ12">
            <v>10.6</v>
          </cell>
          <cell r="BA12">
            <v>10.5</v>
          </cell>
          <cell r="BB12">
            <v>10.8</v>
          </cell>
          <cell r="BC12">
            <v>10.6</v>
          </cell>
          <cell r="BD12">
            <v>1914</v>
          </cell>
          <cell r="BE12">
            <v>2056</v>
          </cell>
          <cell r="BF12">
            <v>1949</v>
          </cell>
          <cell r="BG12">
            <v>1868</v>
          </cell>
          <cell r="BH12">
            <v>1815</v>
          </cell>
          <cell r="BI12">
            <v>1868</v>
          </cell>
          <cell r="BJ12">
            <v>1921</v>
          </cell>
          <cell r="BK12">
            <v>1904</v>
          </cell>
          <cell r="BL12">
            <v>1957</v>
          </cell>
          <cell r="BM12">
            <v>1921</v>
          </cell>
          <cell r="BN12" t="str">
            <v>13-14日</v>
          </cell>
          <cell r="BO12" t="str">
            <v>-</v>
          </cell>
          <cell r="BP12">
            <v>8.1</v>
          </cell>
        </row>
        <row r="13">
          <cell r="A13" t="str">
            <v>POC3</v>
          </cell>
          <cell r="B13" t="str">
            <v>-</v>
          </cell>
          <cell r="C13" t="str">
            <v>-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>
            <v>11.3</v>
          </cell>
          <cell r="Y13">
            <v>12.1</v>
          </cell>
          <cell r="Z13">
            <v>11.5</v>
          </cell>
          <cell r="AA13">
            <v>11.2</v>
          </cell>
          <cell r="AB13">
            <v>10.8</v>
          </cell>
          <cell r="AC13">
            <v>11.1</v>
          </cell>
          <cell r="AD13">
            <v>11.4</v>
          </cell>
          <cell r="AE13">
            <v>11.3</v>
          </cell>
          <cell r="AF13">
            <v>11.6</v>
          </cell>
          <cell r="AG13">
            <v>11.4</v>
          </cell>
          <cell r="AH13">
            <v>2055</v>
          </cell>
          <cell r="AI13">
            <v>2197</v>
          </cell>
          <cell r="AJ13">
            <v>2090</v>
          </cell>
          <cell r="AK13">
            <v>2009</v>
          </cell>
          <cell r="AL13">
            <v>1956</v>
          </cell>
          <cell r="AM13">
            <v>2009</v>
          </cell>
          <cell r="AN13">
            <v>2062</v>
          </cell>
          <cell r="AO13">
            <v>2045</v>
          </cell>
          <cell r="AP13">
            <v>2098</v>
          </cell>
          <cell r="AQ13">
            <v>2062</v>
          </cell>
          <cell r="AR13" t="str">
            <v>12-13日</v>
          </cell>
          <cell r="AS13" t="str">
            <v>-</v>
          </cell>
          <cell r="AT13">
            <v>10.5</v>
          </cell>
          <cell r="AU13">
            <v>11.3</v>
          </cell>
          <cell r="AV13">
            <v>10.7</v>
          </cell>
          <cell r="AW13">
            <v>10.4</v>
          </cell>
          <cell r="AX13">
            <v>10</v>
          </cell>
          <cell r="AY13">
            <v>10.3</v>
          </cell>
          <cell r="AZ13">
            <v>10.6</v>
          </cell>
          <cell r="BA13">
            <v>10.5</v>
          </cell>
          <cell r="BB13">
            <v>10.8</v>
          </cell>
          <cell r="BC13">
            <v>10.6</v>
          </cell>
          <cell r="BD13">
            <v>1914</v>
          </cell>
          <cell r="BE13">
            <v>2056</v>
          </cell>
          <cell r="BF13">
            <v>1949</v>
          </cell>
          <cell r="BG13">
            <v>1868</v>
          </cell>
          <cell r="BH13">
            <v>1815</v>
          </cell>
          <cell r="BI13">
            <v>1868</v>
          </cell>
          <cell r="BJ13">
            <v>1921</v>
          </cell>
          <cell r="BK13">
            <v>1904</v>
          </cell>
          <cell r="BL13">
            <v>1957</v>
          </cell>
          <cell r="BM13">
            <v>1921</v>
          </cell>
          <cell r="BN13" t="str">
            <v>13-14日</v>
          </cell>
          <cell r="BO13" t="str">
            <v>-</v>
          </cell>
          <cell r="BP13">
            <v>8.1</v>
          </cell>
        </row>
        <row r="14">
          <cell r="A14" t="str">
            <v>IUTI</v>
          </cell>
          <cell r="B14" t="str">
            <v>-</v>
          </cell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>
            <v>11.3</v>
          </cell>
          <cell r="Y14">
            <v>12.1</v>
          </cell>
          <cell r="Z14">
            <v>11.5</v>
          </cell>
          <cell r="AA14">
            <v>11.2</v>
          </cell>
          <cell r="AB14">
            <v>10.8</v>
          </cell>
          <cell r="AC14">
            <v>11.1</v>
          </cell>
          <cell r="AD14">
            <v>11.4</v>
          </cell>
          <cell r="AE14">
            <v>11.3</v>
          </cell>
          <cell r="AF14">
            <v>11.6</v>
          </cell>
          <cell r="AG14">
            <v>11.4</v>
          </cell>
          <cell r="AH14">
            <v>2055</v>
          </cell>
          <cell r="AI14">
            <v>2197</v>
          </cell>
          <cell r="AJ14">
            <v>2090</v>
          </cell>
          <cell r="AK14">
            <v>2009</v>
          </cell>
          <cell r="AL14">
            <v>1956</v>
          </cell>
          <cell r="AM14">
            <v>2009</v>
          </cell>
          <cell r="AN14">
            <v>2062</v>
          </cell>
          <cell r="AO14">
            <v>2045</v>
          </cell>
          <cell r="AP14">
            <v>2098</v>
          </cell>
          <cell r="AQ14">
            <v>2062</v>
          </cell>
          <cell r="AR14" t="str">
            <v>20-21日</v>
          </cell>
          <cell r="AS14" t="str">
            <v>-</v>
          </cell>
          <cell r="AT14">
            <v>10.5</v>
          </cell>
          <cell r="AU14">
            <v>11.3</v>
          </cell>
          <cell r="AV14">
            <v>10.7</v>
          </cell>
          <cell r="AW14">
            <v>10.4</v>
          </cell>
          <cell r="AX14">
            <v>10</v>
          </cell>
          <cell r="AY14">
            <v>10.3</v>
          </cell>
          <cell r="AZ14">
            <v>10.6</v>
          </cell>
          <cell r="BA14">
            <v>10.5</v>
          </cell>
          <cell r="BB14">
            <v>10.8</v>
          </cell>
          <cell r="BC14">
            <v>10.6</v>
          </cell>
          <cell r="BD14">
            <v>1914</v>
          </cell>
          <cell r="BE14">
            <v>2056</v>
          </cell>
          <cell r="BF14">
            <v>1949</v>
          </cell>
          <cell r="BG14">
            <v>1868</v>
          </cell>
          <cell r="BH14">
            <v>1815</v>
          </cell>
          <cell r="BI14">
            <v>1868</v>
          </cell>
          <cell r="BJ14">
            <v>1921</v>
          </cell>
          <cell r="BK14">
            <v>1904</v>
          </cell>
          <cell r="BL14">
            <v>1957</v>
          </cell>
          <cell r="BM14">
            <v>1921</v>
          </cell>
          <cell r="BN14" t="str">
            <v>21-22日</v>
          </cell>
          <cell r="BO14" t="str">
            <v>-</v>
          </cell>
          <cell r="BP14">
            <v>8.1</v>
          </cell>
        </row>
        <row r="15">
          <cell r="A15" t="str">
            <v>IUSW</v>
          </cell>
          <cell r="B15" t="str">
            <v>-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>
            <v>11.3</v>
          </cell>
          <cell r="Y15">
            <v>12.1</v>
          </cell>
          <cell r="Z15">
            <v>11.5</v>
          </cell>
          <cell r="AA15">
            <v>11.2</v>
          </cell>
          <cell r="AB15">
            <v>10.8</v>
          </cell>
          <cell r="AC15">
            <v>11.1</v>
          </cell>
          <cell r="AD15">
            <v>11.4</v>
          </cell>
          <cell r="AE15">
            <v>11.3</v>
          </cell>
          <cell r="AF15">
            <v>11.6</v>
          </cell>
          <cell r="AG15">
            <v>11.4</v>
          </cell>
          <cell r="AH15">
            <v>2055</v>
          </cell>
          <cell r="AI15">
            <v>2197</v>
          </cell>
          <cell r="AJ15">
            <v>2090</v>
          </cell>
          <cell r="AK15">
            <v>2009</v>
          </cell>
          <cell r="AL15">
            <v>1956</v>
          </cell>
          <cell r="AM15">
            <v>2009</v>
          </cell>
          <cell r="AN15">
            <v>2062</v>
          </cell>
          <cell r="AO15">
            <v>2045</v>
          </cell>
          <cell r="AP15">
            <v>2098</v>
          </cell>
          <cell r="AQ15">
            <v>2062</v>
          </cell>
          <cell r="AR15" t="str">
            <v>20-21日</v>
          </cell>
          <cell r="AS15" t="str">
            <v>-</v>
          </cell>
          <cell r="AT15">
            <v>10.5</v>
          </cell>
          <cell r="AU15">
            <v>11.3</v>
          </cell>
          <cell r="AV15">
            <v>10.7</v>
          </cell>
          <cell r="AW15">
            <v>10.4</v>
          </cell>
          <cell r="AX15">
            <v>10</v>
          </cell>
          <cell r="AY15">
            <v>10.3</v>
          </cell>
          <cell r="AZ15">
            <v>10.6</v>
          </cell>
          <cell r="BA15">
            <v>10.5</v>
          </cell>
          <cell r="BB15">
            <v>10.8</v>
          </cell>
          <cell r="BC15">
            <v>10.6</v>
          </cell>
          <cell r="BD15">
            <v>1914</v>
          </cell>
          <cell r="BE15">
            <v>2056</v>
          </cell>
          <cell r="BF15">
            <v>1949</v>
          </cell>
          <cell r="BG15">
            <v>1868</v>
          </cell>
          <cell r="BH15">
            <v>1815</v>
          </cell>
          <cell r="BI15">
            <v>1868</v>
          </cell>
          <cell r="BJ15">
            <v>1921</v>
          </cell>
          <cell r="BK15">
            <v>1904</v>
          </cell>
          <cell r="BL15">
            <v>1957</v>
          </cell>
          <cell r="BM15">
            <v>1921</v>
          </cell>
          <cell r="BN15" t="str">
            <v>21-22日</v>
          </cell>
          <cell r="BO15" t="str">
            <v>-</v>
          </cell>
          <cell r="BP15">
            <v>8.1</v>
          </cell>
        </row>
        <row r="16">
          <cell r="A16" t="str">
            <v>SNA4</v>
          </cell>
          <cell r="B16" t="str">
            <v>-</v>
          </cell>
          <cell r="C16" t="str">
            <v>-</v>
          </cell>
          <cell r="D16" t="str">
            <v>-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>
            <v>11.3</v>
          </cell>
          <cell r="Y16">
            <v>12.1</v>
          </cell>
          <cell r="Z16">
            <v>11.5</v>
          </cell>
          <cell r="AA16">
            <v>11.2</v>
          </cell>
          <cell r="AB16">
            <v>10.8</v>
          </cell>
          <cell r="AC16">
            <v>11.1</v>
          </cell>
          <cell r="AD16">
            <v>11.4</v>
          </cell>
          <cell r="AE16">
            <v>11.3</v>
          </cell>
          <cell r="AF16">
            <v>11.6</v>
          </cell>
          <cell r="AG16">
            <v>11.4</v>
          </cell>
          <cell r="AH16">
            <v>2055</v>
          </cell>
          <cell r="AI16">
            <v>2197</v>
          </cell>
          <cell r="AJ16">
            <v>2090</v>
          </cell>
          <cell r="AK16">
            <v>2009</v>
          </cell>
          <cell r="AL16">
            <v>1956</v>
          </cell>
          <cell r="AM16">
            <v>2009</v>
          </cell>
          <cell r="AN16">
            <v>2062</v>
          </cell>
          <cell r="AO16">
            <v>2045</v>
          </cell>
          <cell r="AP16">
            <v>2098</v>
          </cell>
          <cell r="AQ16">
            <v>2062</v>
          </cell>
          <cell r="AR16" t="str">
            <v>12-13日</v>
          </cell>
          <cell r="AS16" t="str">
            <v>-</v>
          </cell>
          <cell r="AT16">
            <v>10.5</v>
          </cell>
          <cell r="AU16">
            <v>11.3</v>
          </cell>
          <cell r="AV16">
            <v>10.7</v>
          </cell>
          <cell r="AW16">
            <v>10.4</v>
          </cell>
          <cell r="AX16">
            <v>10</v>
          </cell>
          <cell r="AY16">
            <v>10.3</v>
          </cell>
          <cell r="AZ16">
            <v>10.6</v>
          </cell>
          <cell r="BA16">
            <v>10.5</v>
          </cell>
          <cell r="BB16">
            <v>10.8</v>
          </cell>
          <cell r="BC16">
            <v>10.6</v>
          </cell>
          <cell r="BD16">
            <v>1914</v>
          </cell>
          <cell r="BE16">
            <v>2056</v>
          </cell>
          <cell r="BF16">
            <v>1949</v>
          </cell>
          <cell r="BG16">
            <v>1868</v>
          </cell>
          <cell r="BH16">
            <v>1815</v>
          </cell>
          <cell r="BI16">
            <v>1868</v>
          </cell>
          <cell r="BJ16">
            <v>1921</v>
          </cell>
          <cell r="BK16">
            <v>1904</v>
          </cell>
          <cell r="BL16">
            <v>1957</v>
          </cell>
          <cell r="BM16">
            <v>1921</v>
          </cell>
          <cell r="BN16" t="str">
            <v>13-14日</v>
          </cell>
          <cell r="BO16" t="str">
            <v>-</v>
          </cell>
          <cell r="BP16">
            <v>8.1</v>
          </cell>
        </row>
        <row r="17">
          <cell r="A17" t="str">
            <v>SBD2</v>
          </cell>
          <cell r="B17" t="str">
            <v>-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  <cell r="V17" t="str">
            <v>-</v>
          </cell>
          <cell r="W17" t="str">
            <v>-</v>
          </cell>
          <cell r="X17">
            <v>11.3</v>
          </cell>
          <cell r="Y17">
            <v>12.1</v>
          </cell>
          <cell r="Z17">
            <v>11.5</v>
          </cell>
          <cell r="AA17">
            <v>11.2</v>
          </cell>
          <cell r="AB17">
            <v>10.8</v>
          </cell>
          <cell r="AC17">
            <v>11.1</v>
          </cell>
          <cell r="AD17">
            <v>11.4</v>
          </cell>
          <cell r="AE17">
            <v>11.3</v>
          </cell>
          <cell r="AF17">
            <v>11.6</v>
          </cell>
          <cell r="AG17">
            <v>11.4</v>
          </cell>
          <cell r="AH17">
            <v>2055</v>
          </cell>
          <cell r="AI17">
            <v>2197</v>
          </cell>
          <cell r="AJ17">
            <v>2090</v>
          </cell>
          <cell r="AK17">
            <v>2009</v>
          </cell>
          <cell r="AL17">
            <v>1956</v>
          </cell>
          <cell r="AM17">
            <v>2009</v>
          </cell>
          <cell r="AN17">
            <v>2062</v>
          </cell>
          <cell r="AO17">
            <v>2045</v>
          </cell>
          <cell r="AP17">
            <v>2098</v>
          </cell>
          <cell r="AQ17">
            <v>2062</v>
          </cell>
          <cell r="AR17" t="str">
            <v>12-13日</v>
          </cell>
          <cell r="AS17" t="str">
            <v>-</v>
          </cell>
          <cell r="AT17">
            <v>10.5</v>
          </cell>
          <cell r="AU17">
            <v>11.3</v>
          </cell>
          <cell r="AV17">
            <v>10.7</v>
          </cell>
          <cell r="AW17">
            <v>10.4</v>
          </cell>
          <cell r="AX17">
            <v>10</v>
          </cell>
          <cell r="AY17">
            <v>10.3</v>
          </cell>
          <cell r="AZ17">
            <v>10.6</v>
          </cell>
          <cell r="BA17">
            <v>10.5</v>
          </cell>
          <cell r="BB17">
            <v>10.8</v>
          </cell>
          <cell r="BC17">
            <v>10.6</v>
          </cell>
          <cell r="BD17">
            <v>1914</v>
          </cell>
          <cell r="BE17">
            <v>2056</v>
          </cell>
          <cell r="BF17">
            <v>1949</v>
          </cell>
          <cell r="BG17">
            <v>1868</v>
          </cell>
          <cell r="BH17">
            <v>1815</v>
          </cell>
          <cell r="BI17">
            <v>1868</v>
          </cell>
          <cell r="BJ17">
            <v>1921</v>
          </cell>
          <cell r="BK17">
            <v>1904</v>
          </cell>
          <cell r="BL17">
            <v>1957</v>
          </cell>
          <cell r="BM17">
            <v>1921</v>
          </cell>
          <cell r="BN17" t="str">
            <v>13-14日</v>
          </cell>
          <cell r="BO17" t="str">
            <v>-</v>
          </cell>
          <cell r="BP17">
            <v>8.1</v>
          </cell>
        </row>
        <row r="18">
          <cell r="A18" t="str">
            <v>LGB4</v>
          </cell>
          <cell r="B18" t="str">
            <v>-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>
            <v>11.3</v>
          </cell>
          <cell r="Y18">
            <v>12.1</v>
          </cell>
          <cell r="Z18">
            <v>11.5</v>
          </cell>
          <cell r="AA18">
            <v>11.2</v>
          </cell>
          <cell r="AB18">
            <v>10.8</v>
          </cell>
          <cell r="AC18">
            <v>11.1</v>
          </cell>
          <cell r="AD18">
            <v>11.4</v>
          </cell>
          <cell r="AE18">
            <v>11.3</v>
          </cell>
          <cell r="AF18">
            <v>11.6</v>
          </cell>
          <cell r="AG18">
            <v>11.4</v>
          </cell>
          <cell r="AH18">
            <v>2055</v>
          </cell>
          <cell r="AI18">
            <v>2197</v>
          </cell>
          <cell r="AJ18">
            <v>2090</v>
          </cell>
          <cell r="AK18">
            <v>2009</v>
          </cell>
          <cell r="AL18">
            <v>1956</v>
          </cell>
          <cell r="AM18">
            <v>2009</v>
          </cell>
          <cell r="AN18">
            <v>2062</v>
          </cell>
          <cell r="AO18">
            <v>2045</v>
          </cell>
          <cell r="AP18">
            <v>2098</v>
          </cell>
          <cell r="AQ18">
            <v>2062</v>
          </cell>
          <cell r="AR18" t="str">
            <v>12-13日</v>
          </cell>
          <cell r="AS18" t="str">
            <v>-</v>
          </cell>
          <cell r="AT18">
            <v>10.5</v>
          </cell>
          <cell r="AU18">
            <v>11.3</v>
          </cell>
          <cell r="AV18">
            <v>10.7</v>
          </cell>
          <cell r="AW18">
            <v>10.4</v>
          </cell>
          <cell r="AX18">
            <v>10</v>
          </cell>
          <cell r="AY18">
            <v>10.3</v>
          </cell>
          <cell r="AZ18">
            <v>10.6</v>
          </cell>
          <cell r="BA18">
            <v>10.5</v>
          </cell>
          <cell r="BB18">
            <v>10.8</v>
          </cell>
          <cell r="BC18">
            <v>10.6</v>
          </cell>
          <cell r="BD18">
            <v>1914</v>
          </cell>
          <cell r="BE18">
            <v>2056</v>
          </cell>
          <cell r="BF18">
            <v>1949</v>
          </cell>
          <cell r="BG18">
            <v>1868</v>
          </cell>
          <cell r="BH18">
            <v>1815</v>
          </cell>
          <cell r="BI18">
            <v>1868</v>
          </cell>
          <cell r="BJ18">
            <v>1921</v>
          </cell>
          <cell r="BK18">
            <v>1904</v>
          </cell>
          <cell r="BL18">
            <v>1957</v>
          </cell>
          <cell r="BM18">
            <v>1921</v>
          </cell>
          <cell r="BN18" t="str">
            <v>13-14日</v>
          </cell>
          <cell r="BO18" t="str">
            <v>-</v>
          </cell>
          <cell r="BP18">
            <v>8.1</v>
          </cell>
        </row>
        <row r="19">
          <cell r="A19" t="str">
            <v>LGB6</v>
          </cell>
          <cell r="B19" t="str">
            <v>-</v>
          </cell>
          <cell r="C19" t="str">
            <v>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>
            <v>11.3</v>
          </cell>
          <cell r="Y19">
            <v>12.1</v>
          </cell>
          <cell r="Z19">
            <v>11.5</v>
          </cell>
          <cell r="AA19">
            <v>11.2</v>
          </cell>
          <cell r="AB19">
            <v>10.8</v>
          </cell>
          <cell r="AC19">
            <v>11.1</v>
          </cell>
          <cell r="AD19">
            <v>11.4</v>
          </cell>
          <cell r="AE19">
            <v>11.3</v>
          </cell>
          <cell r="AF19">
            <v>11.6</v>
          </cell>
          <cell r="AG19">
            <v>11.4</v>
          </cell>
          <cell r="AH19">
            <v>2055</v>
          </cell>
          <cell r="AI19">
            <v>2197</v>
          </cell>
          <cell r="AJ19">
            <v>2090</v>
          </cell>
          <cell r="AK19">
            <v>2009</v>
          </cell>
          <cell r="AL19">
            <v>1956</v>
          </cell>
          <cell r="AM19">
            <v>2009</v>
          </cell>
          <cell r="AN19">
            <v>2062</v>
          </cell>
          <cell r="AO19">
            <v>2045</v>
          </cell>
          <cell r="AP19">
            <v>2098</v>
          </cell>
          <cell r="AQ19">
            <v>2062</v>
          </cell>
          <cell r="AR19" t="str">
            <v>12-13日</v>
          </cell>
          <cell r="AS19" t="str">
            <v>-</v>
          </cell>
          <cell r="AT19">
            <v>10.5</v>
          </cell>
          <cell r="AU19">
            <v>11.3</v>
          </cell>
          <cell r="AV19">
            <v>10.7</v>
          </cell>
          <cell r="AW19">
            <v>10.4</v>
          </cell>
          <cell r="AX19">
            <v>10</v>
          </cell>
          <cell r="AY19">
            <v>10.3</v>
          </cell>
          <cell r="AZ19">
            <v>10.6</v>
          </cell>
          <cell r="BA19">
            <v>10.5</v>
          </cell>
          <cell r="BB19">
            <v>10.8</v>
          </cell>
          <cell r="BC19">
            <v>10.6</v>
          </cell>
          <cell r="BD19">
            <v>1914</v>
          </cell>
          <cell r="BE19">
            <v>2056</v>
          </cell>
          <cell r="BF19">
            <v>1949</v>
          </cell>
          <cell r="BG19">
            <v>1868</v>
          </cell>
          <cell r="BH19">
            <v>1815</v>
          </cell>
          <cell r="BI19">
            <v>1868</v>
          </cell>
          <cell r="BJ19">
            <v>1921</v>
          </cell>
          <cell r="BK19">
            <v>1904</v>
          </cell>
          <cell r="BL19">
            <v>1957</v>
          </cell>
          <cell r="BM19">
            <v>1921</v>
          </cell>
          <cell r="BN19" t="str">
            <v>13-14日</v>
          </cell>
          <cell r="BO19" t="str">
            <v>-</v>
          </cell>
          <cell r="BP19">
            <v>8.1</v>
          </cell>
        </row>
        <row r="20">
          <cell r="A20" t="str">
            <v>XLX7</v>
          </cell>
          <cell r="B20" t="str">
            <v>-</v>
          </cell>
          <cell r="C20" t="str">
            <v>-</v>
          </cell>
          <cell r="D20" t="str">
            <v>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>
            <v>11.3</v>
          </cell>
          <cell r="Y20">
            <v>12.1</v>
          </cell>
          <cell r="Z20">
            <v>11.5</v>
          </cell>
          <cell r="AA20">
            <v>11.2</v>
          </cell>
          <cell r="AB20">
            <v>10.8</v>
          </cell>
          <cell r="AC20">
            <v>11.1</v>
          </cell>
          <cell r="AD20">
            <v>11.4</v>
          </cell>
          <cell r="AE20">
            <v>11.3</v>
          </cell>
          <cell r="AF20">
            <v>11.6</v>
          </cell>
          <cell r="AG20">
            <v>11.4</v>
          </cell>
          <cell r="AH20">
            <v>2055</v>
          </cell>
          <cell r="AI20">
            <v>2197</v>
          </cell>
          <cell r="AJ20">
            <v>2090</v>
          </cell>
          <cell r="AK20">
            <v>2009</v>
          </cell>
          <cell r="AL20">
            <v>1956</v>
          </cell>
          <cell r="AM20">
            <v>2009</v>
          </cell>
          <cell r="AN20">
            <v>2062</v>
          </cell>
          <cell r="AO20">
            <v>2045</v>
          </cell>
          <cell r="AP20">
            <v>2098</v>
          </cell>
          <cell r="AQ20">
            <v>2062</v>
          </cell>
          <cell r="AR20" t="str">
            <v>14-21日</v>
          </cell>
          <cell r="AS20" t="str">
            <v>-</v>
          </cell>
          <cell r="AT20">
            <v>10.5</v>
          </cell>
          <cell r="AU20">
            <v>11.3</v>
          </cell>
          <cell r="AV20">
            <v>10.7</v>
          </cell>
          <cell r="AW20">
            <v>10.4</v>
          </cell>
          <cell r="AX20">
            <v>10</v>
          </cell>
          <cell r="AY20">
            <v>10.3</v>
          </cell>
          <cell r="AZ20">
            <v>10.6</v>
          </cell>
          <cell r="BA20">
            <v>10.5</v>
          </cell>
          <cell r="BB20">
            <v>10.8</v>
          </cell>
          <cell r="BC20">
            <v>10.6</v>
          </cell>
          <cell r="BD20">
            <v>1914</v>
          </cell>
          <cell r="BE20">
            <v>2056</v>
          </cell>
          <cell r="BF20">
            <v>1949</v>
          </cell>
          <cell r="BG20">
            <v>1868</v>
          </cell>
          <cell r="BH20">
            <v>1815</v>
          </cell>
          <cell r="BI20">
            <v>1868</v>
          </cell>
          <cell r="BJ20">
            <v>1921</v>
          </cell>
          <cell r="BK20">
            <v>1904</v>
          </cell>
          <cell r="BL20">
            <v>1957</v>
          </cell>
          <cell r="BM20">
            <v>1921</v>
          </cell>
          <cell r="BN20" t="str">
            <v>15-22日</v>
          </cell>
          <cell r="BO20" t="str">
            <v>-</v>
          </cell>
          <cell r="BP20">
            <v>8.1</v>
          </cell>
        </row>
        <row r="21">
          <cell r="A21" t="str">
            <v>IUSJ</v>
          </cell>
          <cell r="B21" t="str">
            <v>-</v>
          </cell>
          <cell r="C21" t="str">
            <v>-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>
            <v>11.3</v>
          </cell>
          <cell r="Y21">
            <v>12.1</v>
          </cell>
          <cell r="Z21">
            <v>11.5</v>
          </cell>
          <cell r="AA21">
            <v>11.2</v>
          </cell>
          <cell r="AB21">
            <v>10.8</v>
          </cell>
          <cell r="AC21">
            <v>11.1</v>
          </cell>
          <cell r="AD21">
            <v>11.4</v>
          </cell>
          <cell r="AE21">
            <v>11.3</v>
          </cell>
          <cell r="AF21">
            <v>11.6</v>
          </cell>
          <cell r="AG21">
            <v>11.4</v>
          </cell>
          <cell r="AH21">
            <v>2055</v>
          </cell>
          <cell r="AI21">
            <v>2197</v>
          </cell>
          <cell r="AJ21">
            <v>2090</v>
          </cell>
          <cell r="AK21">
            <v>2009</v>
          </cell>
          <cell r="AL21">
            <v>1956</v>
          </cell>
          <cell r="AM21">
            <v>2009</v>
          </cell>
          <cell r="AN21">
            <v>2062</v>
          </cell>
          <cell r="AO21">
            <v>2045</v>
          </cell>
          <cell r="AP21">
            <v>2098</v>
          </cell>
          <cell r="AQ21">
            <v>2062</v>
          </cell>
          <cell r="AR21" t="str">
            <v>20-21日</v>
          </cell>
          <cell r="AS21" t="str">
            <v>-</v>
          </cell>
          <cell r="AT21">
            <v>10.5</v>
          </cell>
          <cell r="AU21">
            <v>11.3</v>
          </cell>
          <cell r="AV21">
            <v>10.7</v>
          </cell>
          <cell r="AW21">
            <v>10.4</v>
          </cell>
          <cell r="AX21">
            <v>10</v>
          </cell>
          <cell r="AY21">
            <v>10.3</v>
          </cell>
          <cell r="AZ21">
            <v>10.6</v>
          </cell>
          <cell r="BA21">
            <v>10.5</v>
          </cell>
          <cell r="BB21">
            <v>10.8</v>
          </cell>
          <cell r="BC21">
            <v>10.6</v>
          </cell>
          <cell r="BD21">
            <v>1914</v>
          </cell>
          <cell r="BE21">
            <v>2056</v>
          </cell>
          <cell r="BF21">
            <v>1949</v>
          </cell>
          <cell r="BG21">
            <v>1868</v>
          </cell>
          <cell r="BH21">
            <v>1815</v>
          </cell>
          <cell r="BI21">
            <v>1868</v>
          </cell>
          <cell r="BJ21">
            <v>1921</v>
          </cell>
          <cell r="BK21">
            <v>1904</v>
          </cell>
          <cell r="BL21">
            <v>1957</v>
          </cell>
          <cell r="BM21">
            <v>1921</v>
          </cell>
          <cell r="BN21" t="str">
            <v>21-22日</v>
          </cell>
          <cell r="BO21" t="str">
            <v>-</v>
          </cell>
          <cell r="BP21">
            <v>8.1</v>
          </cell>
        </row>
        <row r="22">
          <cell r="A22" t="str">
            <v>IUSP</v>
          </cell>
          <cell r="B22" t="str">
            <v>-</v>
          </cell>
          <cell r="C22" t="str">
            <v>-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-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>
            <v>11.3</v>
          </cell>
          <cell r="Y22">
            <v>12.1</v>
          </cell>
          <cell r="Z22">
            <v>11.5</v>
          </cell>
          <cell r="AA22">
            <v>11.2</v>
          </cell>
          <cell r="AB22">
            <v>10.8</v>
          </cell>
          <cell r="AC22">
            <v>11.1</v>
          </cell>
          <cell r="AD22">
            <v>11.4</v>
          </cell>
          <cell r="AE22">
            <v>11.3</v>
          </cell>
          <cell r="AF22">
            <v>11.6</v>
          </cell>
          <cell r="AG22">
            <v>11.4</v>
          </cell>
          <cell r="AH22">
            <v>2055</v>
          </cell>
          <cell r="AI22">
            <v>2197</v>
          </cell>
          <cell r="AJ22">
            <v>2090</v>
          </cell>
          <cell r="AK22">
            <v>2009</v>
          </cell>
          <cell r="AL22">
            <v>1956</v>
          </cell>
          <cell r="AM22">
            <v>2009</v>
          </cell>
          <cell r="AN22">
            <v>2062</v>
          </cell>
          <cell r="AO22">
            <v>2045</v>
          </cell>
          <cell r="AP22">
            <v>2098</v>
          </cell>
          <cell r="AQ22">
            <v>2062</v>
          </cell>
          <cell r="AR22" t="str">
            <v>20-21日</v>
          </cell>
          <cell r="AS22" t="str">
            <v>-</v>
          </cell>
          <cell r="AT22">
            <v>10.5</v>
          </cell>
          <cell r="AU22">
            <v>11.3</v>
          </cell>
          <cell r="AV22">
            <v>10.7</v>
          </cell>
          <cell r="AW22">
            <v>10.4</v>
          </cell>
          <cell r="AX22">
            <v>10</v>
          </cell>
          <cell r="AY22">
            <v>10.3</v>
          </cell>
          <cell r="AZ22">
            <v>10.6</v>
          </cell>
          <cell r="BA22">
            <v>10.5</v>
          </cell>
          <cell r="BB22">
            <v>10.8</v>
          </cell>
          <cell r="BC22">
            <v>10.6</v>
          </cell>
          <cell r="BD22">
            <v>1914</v>
          </cell>
          <cell r="BE22">
            <v>2056</v>
          </cell>
          <cell r="BF22">
            <v>1949</v>
          </cell>
          <cell r="BG22">
            <v>1868</v>
          </cell>
          <cell r="BH22">
            <v>1815</v>
          </cell>
          <cell r="BI22">
            <v>1868</v>
          </cell>
          <cell r="BJ22">
            <v>1921</v>
          </cell>
          <cell r="BK22">
            <v>1904</v>
          </cell>
          <cell r="BL22">
            <v>1957</v>
          </cell>
          <cell r="BM22">
            <v>1921</v>
          </cell>
          <cell r="BN22" t="str">
            <v>21-22日</v>
          </cell>
          <cell r="BO22" t="str">
            <v>-</v>
          </cell>
          <cell r="BP22">
            <v>8.1</v>
          </cell>
        </row>
        <row r="23">
          <cell r="A23" t="str">
            <v>IUSQ</v>
          </cell>
          <cell r="B23" t="str">
            <v>-</v>
          </cell>
          <cell r="C23" t="str">
            <v>-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>
            <v>11.3</v>
          </cell>
          <cell r="Y23">
            <v>12.1</v>
          </cell>
          <cell r="Z23">
            <v>11.5</v>
          </cell>
          <cell r="AA23">
            <v>11.2</v>
          </cell>
          <cell r="AB23">
            <v>10.8</v>
          </cell>
          <cell r="AC23">
            <v>11.1</v>
          </cell>
          <cell r="AD23">
            <v>11.4</v>
          </cell>
          <cell r="AE23">
            <v>11.3</v>
          </cell>
          <cell r="AF23">
            <v>11.6</v>
          </cell>
          <cell r="AG23">
            <v>11.4</v>
          </cell>
          <cell r="AH23">
            <v>2055</v>
          </cell>
          <cell r="AI23">
            <v>2197</v>
          </cell>
          <cell r="AJ23">
            <v>2090</v>
          </cell>
          <cell r="AK23">
            <v>2009</v>
          </cell>
          <cell r="AL23">
            <v>1956</v>
          </cell>
          <cell r="AM23">
            <v>2009</v>
          </cell>
          <cell r="AN23">
            <v>2062</v>
          </cell>
          <cell r="AO23">
            <v>2045</v>
          </cell>
          <cell r="AP23">
            <v>2098</v>
          </cell>
          <cell r="AQ23">
            <v>2062</v>
          </cell>
          <cell r="AR23" t="str">
            <v>20-21日</v>
          </cell>
          <cell r="AS23" t="str">
            <v>-</v>
          </cell>
          <cell r="AT23">
            <v>10.5</v>
          </cell>
          <cell r="AU23">
            <v>11.3</v>
          </cell>
          <cell r="AV23">
            <v>10.7</v>
          </cell>
          <cell r="AW23">
            <v>10.4</v>
          </cell>
          <cell r="AX23">
            <v>10</v>
          </cell>
          <cell r="AY23">
            <v>10.3</v>
          </cell>
          <cell r="AZ23">
            <v>10.6</v>
          </cell>
          <cell r="BA23">
            <v>10.5</v>
          </cell>
          <cell r="BB23">
            <v>10.8</v>
          </cell>
          <cell r="BC23">
            <v>10.6</v>
          </cell>
          <cell r="BD23">
            <v>1914</v>
          </cell>
          <cell r="BE23">
            <v>2056</v>
          </cell>
          <cell r="BF23">
            <v>1949</v>
          </cell>
          <cell r="BG23">
            <v>1868</v>
          </cell>
          <cell r="BH23">
            <v>1815</v>
          </cell>
          <cell r="BI23">
            <v>1868</v>
          </cell>
          <cell r="BJ23">
            <v>1921</v>
          </cell>
          <cell r="BK23">
            <v>1904</v>
          </cell>
          <cell r="BL23">
            <v>1957</v>
          </cell>
          <cell r="BM23">
            <v>1921</v>
          </cell>
          <cell r="BN23" t="str">
            <v>21-22日</v>
          </cell>
          <cell r="BO23" t="str">
            <v>-</v>
          </cell>
          <cell r="BP23">
            <v>8.1</v>
          </cell>
        </row>
        <row r="24">
          <cell r="A24" t="str">
            <v>WM-LAX2T</v>
          </cell>
          <cell r="B24" t="str">
            <v>-</v>
          </cell>
          <cell r="C24" t="str">
            <v>-</v>
          </cell>
          <cell r="D24" t="str">
            <v>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>
            <v>11.3</v>
          </cell>
          <cell r="Y24">
            <v>12.1</v>
          </cell>
          <cell r="Z24">
            <v>11.5</v>
          </cell>
          <cell r="AA24">
            <v>11.2</v>
          </cell>
          <cell r="AB24">
            <v>10.8</v>
          </cell>
          <cell r="AC24">
            <v>11.1</v>
          </cell>
          <cell r="AD24">
            <v>11.4</v>
          </cell>
          <cell r="AE24">
            <v>11.3</v>
          </cell>
          <cell r="AF24">
            <v>11.6</v>
          </cell>
          <cell r="AG24">
            <v>11.4</v>
          </cell>
          <cell r="AH24">
            <v>2055</v>
          </cell>
          <cell r="AI24">
            <v>2197</v>
          </cell>
          <cell r="AJ24">
            <v>2090</v>
          </cell>
          <cell r="AK24">
            <v>2009</v>
          </cell>
          <cell r="AL24">
            <v>1956</v>
          </cell>
          <cell r="AM24">
            <v>2009</v>
          </cell>
          <cell r="AN24">
            <v>2062</v>
          </cell>
          <cell r="AO24">
            <v>2045</v>
          </cell>
          <cell r="AP24">
            <v>2098</v>
          </cell>
          <cell r="AQ24">
            <v>2062</v>
          </cell>
          <cell r="AR24" t="str">
            <v>12-13日</v>
          </cell>
          <cell r="AS24" t="str">
            <v>-</v>
          </cell>
          <cell r="AT24">
            <v>10.5</v>
          </cell>
          <cell r="AU24">
            <v>11.3</v>
          </cell>
          <cell r="AV24">
            <v>10.7</v>
          </cell>
          <cell r="AW24">
            <v>10.4</v>
          </cell>
          <cell r="AX24">
            <v>10</v>
          </cell>
          <cell r="AY24">
            <v>10.3</v>
          </cell>
          <cell r="AZ24">
            <v>10.6</v>
          </cell>
          <cell r="BA24">
            <v>10.5</v>
          </cell>
          <cell r="BB24">
            <v>10.8</v>
          </cell>
          <cell r="BC24">
            <v>10.6</v>
          </cell>
          <cell r="BD24">
            <v>1914</v>
          </cell>
          <cell r="BE24">
            <v>2056</v>
          </cell>
          <cell r="BF24">
            <v>1949</v>
          </cell>
          <cell r="BG24">
            <v>1868</v>
          </cell>
          <cell r="BH24">
            <v>1815</v>
          </cell>
          <cell r="BI24">
            <v>1868</v>
          </cell>
          <cell r="BJ24">
            <v>1921</v>
          </cell>
          <cell r="BK24">
            <v>1904</v>
          </cell>
          <cell r="BL24">
            <v>1957</v>
          </cell>
          <cell r="BM24">
            <v>1921</v>
          </cell>
          <cell r="BN24" t="str">
            <v>13-14日</v>
          </cell>
          <cell r="BO24" t="str">
            <v>-</v>
          </cell>
          <cell r="BP24">
            <v>8.1</v>
          </cell>
        </row>
        <row r="25">
          <cell r="A25" t="str">
            <v>WM-LAX2</v>
          </cell>
          <cell r="B25" t="str">
            <v>-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>
            <v>11.3</v>
          </cell>
          <cell r="Y25">
            <v>12.1</v>
          </cell>
          <cell r="Z25">
            <v>11.5</v>
          </cell>
          <cell r="AA25">
            <v>11.2</v>
          </cell>
          <cell r="AB25">
            <v>10.8</v>
          </cell>
          <cell r="AC25">
            <v>11.1</v>
          </cell>
          <cell r="AD25">
            <v>11.4</v>
          </cell>
          <cell r="AE25">
            <v>11.3</v>
          </cell>
          <cell r="AF25">
            <v>11.6</v>
          </cell>
          <cell r="AG25">
            <v>11.4</v>
          </cell>
          <cell r="AH25">
            <v>2055</v>
          </cell>
          <cell r="AI25">
            <v>2197</v>
          </cell>
          <cell r="AJ25">
            <v>2090</v>
          </cell>
          <cell r="AK25">
            <v>2009</v>
          </cell>
          <cell r="AL25">
            <v>1956</v>
          </cell>
          <cell r="AM25">
            <v>2009</v>
          </cell>
          <cell r="AN25">
            <v>2062</v>
          </cell>
          <cell r="AO25">
            <v>2045</v>
          </cell>
          <cell r="AP25">
            <v>2098</v>
          </cell>
          <cell r="AQ25">
            <v>2062</v>
          </cell>
          <cell r="AR25" t="str">
            <v>12-13日</v>
          </cell>
          <cell r="AS25" t="str">
            <v>-</v>
          </cell>
          <cell r="AT25">
            <v>10.5</v>
          </cell>
          <cell r="AU25">
            <v>11.3</v>
          </cell>
          <cell r="AV25">
            <v>10.7</v>
          </cell>
          <cell r="AW25">
            <v>10.4</v>
          </cell>
          <cell r="AX25">
            <v>10</v>
          </cell>
          <cell r="AY25">
            <v>10.3</v>
          </cell>
          <cell r="AZ25">
            <v>10.6</v>
          </cell>
          <cell r="BA25">
            <v>10.5</v>
          </cell>
          <cell r="BB25">
            <v>10.8</v>
          </cell>
          <cell r="BC25">
            <v>10.6</v>
          </cell>
          <cell r="BD25">
            <v>1914</v>
          </cell>
          <cell r="BE25">
            <v>2056</v>
          </cell>
          <cell r="BF25">
            <v>1949</v>
          </cell>
          <cell r="BG25">
            <v>1868</v>
          </cell>
          <cell r="BH25">
            <v>1815</v>
          </cell>
          <cell r="BI25">
            <v>1868</v>
          </cell>
          <cell r="BJ25">
            <v>1921</v>
          </cell>
          <cell r="BK25">
            <v>1904</v>
          </cell>
          <cell r="BL25">
            <v>1957</v>
          </cell>
          <cell r="BM25">
            <v>1921</v>
          </cell>
          <cell r="BN25" t="str">
            <v>13-14日</v>
          </cell>
          <cell r="BO25" t="str">
            <v>-</v>
          </cell>
          <cell r="BP25">
            <v>8.1</v>
          </cell>
        </row>
        <row r="26">
          <cell r="A26" t="str">
            <v>SMF3</v>
          </cell>
          <cell r="B26">
            <v>15.3</v>
          </cell>
          <cell r="C26">
            <v>16.1</v>
          </cell>
          <cell r="D26">
            <v>15.5</v>
          </cell>
          <cell r="E26">
            <v>15.2</v>
          </cell>
          <cell r="F26">
            <v>14.8</v>
          </cell>
          <cell r="G26">
            <v>15.1</v>
          </cell>
          <cell r="H26">
            <v>15.4</v>
          </cell>
          <cell r="I26">
            <v>15.3</v>
          </cell>
          <cell r="J26">
            <v>15.6</v>
          </cell>
          <cell r="K26">
            <v>15.4</v>
          </cell>
          <cell r="L26">
            <v>2593</v>
          </cell>
          <cell r="M26">
            <v>2735</v>
          </cell>
          <cell r="N26">
            <v>2628</v>
          </cell>
          <cell r="O26">
            <v>2566</v>
          </cell>
          <cell r="P26">
            <v>2495</v>
          </cell>
          <cell r="Q26">
            <v>2548</v>
          </cell>
          <cell r="R26">
            <v>2601</v>
          </cell>
          <cell r="S26">
            <v>2584</v>
          </cell>
          <cell r="T26">
            <v>2637</v>
          </cell>
          <cell r="U26">
            <v>2601</v>
          </cell>
          <cell r="V26" t="str">
            <v>12-14日</v>
          </cell>
          <cell r="W26" t="str">
            <v>超16日</v>
          </cell>
          <cell r="X26">
            <v>11.7</v>
          </cell>
          <cell r="Y26">
            <v>12.5</v>
          </cell>
          <cell r="Z26">
            <v>11.9</v>
          </cell>
          <cell r="AA26">
            <v>11.6</v>
          </cell>
          <cell r="AB26">
            <v>11.2</v>
          </cell>
          <cell r="AC26">
            <v>11.5</v>
          </cell>
          <cell r="AD26">
            <v>11.8</v>
          </cell>
          <cell r="AE26">
            <v>11.7</v>
          </cell>
          <cell r="AF26">
            <v>12</v>
          </cell>
          <cell r="AG26">
            <v>11.8</v>
          </cell>
          <cell r="AH26">
            <v>2137</v>
          </cell>
          <cell r="AI26">
            <v>2279</v>
          </cell>
          <cell r="AJ26">
            <v>2172</v>
          </cell>
          <cell r="AK26">
            <v>2092</v>
          </cell>
          <cell r="AL26">
            <v>2039</v>
          </cell>
          <cell r="AM26">
            <v>2092</v>
          </cell>
          <cell r="AN26">
            <v>2145</v>
          </cell>
          <cell r="AO26">
            <v>2128</v>
          </cell>
          <cell r="AP26">
            <v>2181</v>
          </cell>
          <cell r="AQ26">
            <v>2145</v>
          </cell>
          <cell r="AR26" t="str">
            <v>13-15日</v>
          </cell>
          <cell r="AS26" t="str">
            <v>超17日</v>
          </cell>
          <cell r="AT26">
            <v>10.9</v>
          </cell>
          <cell r="AU26">
            <v>11.7</v>
          </cell>
          <cell r="AV26">
            <v>11.1</v>
          </cell>
          <cell r="AW26">
            <v>10.8</v>
          </cell>
          <cell r="AX26">
            <v>10.4</v>
          </cell>
          <cell r="AY26">
            <v>10.7</v>
          </cell>
          <cell r="AZ26">
            <v>11</v>
          </cell>
          <cell r="BA26">
            <v>10.9</v>
          </cell>
          <cell r="BB26">
            <v>11.2</v>
          </cell>
          <cell r="BC26">
            <v>11</v>
          </cell>
          <cell r="BD26">
            <v>1996</v>
          </cell>
          <cell r="BE26">
            <v>2138</v>
          </cell>
          <cell r="BF26">
            <v>2031</v>
          </cell>
          <cell r="BG26">
            <v>1951</v>
          </cell>
          <cell r="BH26">
            <v>1898</v>
          </cell>
          <cell r="BI26">
            <v>1951</v>
          </cell>
          <cell r="BJ26">
            <v>2004</v>
          </cell>
          <cell r="BK26">
            <v>1987</v>
          </cell>
          <cell r="BL26">
            <v>2040</v>
          </cell>
          <cell r="BM26">
            <v>2004</v>
          </cell>
          <cell r="BN26" t="str">
            <v>14-16日</v>
          </cell>
          <cell r="BO26" t="str">
            <v>超18日</v>
          </cell>
          <cell r="BP26">
            <v>8.5</v>
          </cell>
        </row>
        <row r="27">
          <cell r="A27" t="str">
            <v>SCK4</v>
          </cell>
          <cell r="B27">
            <v>15.3</v>
          </cell>
          <cell r="C27">
            <v>16.1</v>
          </cell>
          <cell r="D27">
            <v>15.5</v>
          </cell>
          <cell r="E27">
            <v>15.2</v>
          </cell>
          <cell r="F27">
            <v>14.8</v>
          </cell>
          <cell r="G27">
            <v>15.1</v>
          </cell>
          <cell r="H27">
            <v>15.4</v>
          </cell>
          <cell r="I27">
            <v>15.3</v>
          </cell>
          <cell r="J27">
            <v>15.6</v>
          </cell>
          <cell r="K27">
            <v>15.4</v>
          </cell>
          <cell r="L27">
            <v>2593</v>
          </cell>
          <cell r="M27">
            <v>2735</v>
          </cell>
          <cell r="N27">
            <v>2628</v>
          </cell>
          <cell r="O27">
            <v>2566</v>
          </cell>
          <cell r="P27">
            <v>2495</v>
          </cell>
          <cell r="Q27">
            <v>2548</v>
          </cell>
          <cell r="R27">
            <v>2601</v>
          </cell>
          <cell r="S27">
            <v>2584</v>
          </cell>
          <cell r="T27">
            <v>2637</v>
          </cell>
          <cell r="U27">
            <v>2601</v>
          </cell>
          <cell r="V27" t="str">
            <v>12-14日</v>
          </cell>
          <cell r="W27" t="str">
            <v>超16日</v>
          </cell>
          <cell r="X27">
            <v>11.7</v>
          </cell>
          <cell r="Y27">
            <v>12.5</v>
          </cell>
          <cell r="Z27">
            <v>11.9</v>
          </cell>
          <cell r="AA27">
            <v>11.6</v>
          </cell>
          <cell r="AB27">
            <v>11.2</v>
          </cell>
          <cell r="AC27">
            <v>11.5</v>
          </cell>
          <cell r="AD27">
            <v>11.8</v>
          </cell>
          <cell r="AE27">
            <v>11.7</v>
          </cell>
          <cell r="AF27">
            <v>12</v>
          </cell>
          <cell r="AG27">
            <v>11.8</v>
          </cell>
          <cell r="AH27">
            <v>2137</v>
          </cell>
          <cell r="AI27">
            <v>2279</v>
          </cell>
          <cell r="AJ27">
            <v>2172</v>
          </cell>
          <cell r="AK27">
            <v>2092</v>
          </cell>
          <cell r="AL27">
            <v>2039</v>
          </cell>
          <cell r="AM27">
            <v>2092</v>
          </cell>
          <cell r="AN27">
            <v>2145</v>
          </cell>
          <cell r="AO27">
            <v>2128</v>
          </cell>
          <cell r="AP27">
            <v>2181</v>
          </cell>
          <cell r="AQ27">
            <v>2145</v>
          </cell>
          <cell r="AR27" t="str">
            <v>13-15日</v>
          </cell>
          <cell r="AS27" t="str">
            <v>超17日</v>
          </cell>
          <cell r="AT27">
            <v>10.9</v>
          </cell>
          <cell r="AU27">
            <v>11.7</v>
          </cell>
          <cell r="AV27">
            <v>11.1</v>
          </cell>
          <cell r="AW27">
            <v>10.8</v>
          </cell>
          <cell r="AX27">
            <v>10.4</v>
          </cell>
          <cell r="AY27">
            <v>10.7</v>
          </cell>
          <cell r="AZ27">
            <v>11</v>
          </cell>
          <cell r="BA27">
            <v>10.9</v>
          </cell>
          <cell r="BB27">
            <v>11.2</v>
          </cell>
          <cell r="BC27">
            <v>11</v>
          </cell>
          <cell r="BD27">
            <v>1996</v>
          </cell>
          <cell r="BE27">
            <v>2138</v>
          </cell>
          <cell r="BF27">
            <v>2031</v>
          </cell>
          <cell r="BG27">
            <v>1951</v>
          </cell>
          <cell r="BH27">
            <v>1898</v>
          </cell>
          <cell r="BI27">
            <v>1951</v>
          </cell>
          <cell r="BJ27">
            <v>2004</v>
          </cell>
          <cell r="BK27">
            <v>1987</v>
          </cell>
          <cell r="BL27">
            <v>2040</v>
          </cell>
          <cell r="BM27">
            <v>2004</v>
          </cell>
          <cell r="BN27" t="str">
            <v>14-16日</v>
          </cell>
          <cell r="BO27" t="str">
            <v>超18日</v>
          </cell>
          <cell r="BP27">
            <v>8.5</v>
          </cell>
        </row>
        <row r="28">
          <cell r="A28" t="str">
            <v>LAS1</v>
          </cell>
          <cell r="B28">
            <v>15.3</v>
          </cell>
          <cell r="C28">
            <v>16.1</v>
          </cell>
          <cell r="D28">
            <v>15.5</v>
          </cell>
          <cell r="E28">
            <v>15.2</v>
          </cell>
          <cell r="F28">
            <v>14.8</v>
          </cell>
          <cell r="G28">
            <v>15.1</v>
          </cell>
          <cell r="H28">
            <v>15.4</v>
          </cell>
          <cell r="I28">
            <v>15.3</v>
          </cell>
          <cell r="J28">
            <v>15.6</v>
          </cell>
          <cell r="K28">
            <v>15.4</v>
          </cell>
          <cell r="L28">
            <v>2593</v>
          </cell>
          <cell r="M28">
            <v>2735</v>
          </cell>
          <cell r="N28">
            <v>2628</v>
          </cell>
          <cell r="O28">
            <v>2566</v>
          </cell>
          <cell r="P28">
            <v>2495</v>
          </cell>
          <cell r="Q28">
            <v>2548</v>
          </cell>
          <cell r="R28">
            <v>2601</v>
          </cell>
          <cell r="S28">
            <v>2584</v>
          </cell>
          <cell r="T28">
            <v>2637</v>
          </cell>
          <cell r="U28">
            <v>2601</v>
          </cell>
          <cell r="V28" t="str">
            <v>12-14日</v>
          </cell>
          <cell r="W28" t="str">
            <v>超16日</v>
          </cell>
          <cell r="X28">
            <v>11.7</v>
          </cell>
          <cell r="Y28">
            <v>12.5</v>
          </cell>
          <cell r="Z28">
            <v>11.9</v>
          </cell>
          <cell r="AA28">
            <v>11.6</v>
          </cell>
          <cell r="AB28">
            <v>11.2</v>
          </cell>
          <cell r="AC28">
            <v>11.5</v>
          </cell>
          <cell r="AD28">
            <v>11.8</v>
          </cell>
          <cell r="AE28">
            <v>11.7</v>
          </cell>
          <cell r="AF28">
            <v>12</v>
          </cell>
          <cell r="AG28">
            <v>11.8</v>
          </cell>
          <cell r="AH28">
            <v>2137</v>
          </cell>
          <cell r="AI28">
            <v>2279</v>
          </cell>
          <cell r="AJ28">
            <v>2172</v>
          </cell>
          <cell r="AK28">
            <v>2092</v>
          </cell>
          <cell r="AL28">
            <v>2039</v>
          </cell>
          <cell r="AM28">
            <v>2092</v>
          </cell>
          <cell r="AN28">
            <v>2145</v>
          </cell>
          <cell r="AO28">
            <v>2128</v>
          </cell>
          <cell r="AP28">
            <v>2181</v>
          </cell>
          <cell r="AQ28">
            <v>2145</v>
          </cell>
          <cell r="AR28" t="str">
            <v>13-15日</v>
          </cell>
          <cell r="AS28" t="str">
            <v>超17日</v>
          </cell>
          <cell r="AT28">
            <v>10.9</v>
          </cell>
          <cell r="AU28">
            <v>11.7</v>
          </cell>
          <cell r="AV28">
            <v>11.1</v>
          </cell>
          <cell r="AW28">
            <v>10.8</v>
          </cell>
          <cell r="AX28">
            <v>10.4</v>
          </cell>
          <cell r="AY28">
            <v>10.7</v>
          </cell>
          <cell r="AZ28">
            <v>11</v>
          </cell>
          <cell r="BA28">
            <v>10.9</v>
          </cell>
          <cell r="BB28">
            <v>11.2</v>
          </cell>
          <cell r="BC28">
            <v>11</v>
          </cell>
          <cell r="BD28">
            <v>1996</v>
          </cell>
          <cell r="BE28">
            <v>2138</v>
          </cell>
          <cell r="BF28">
            <v>2031</v>
          </cell>
          <cell r="BG28">
            <v>1951</v>
          </cell>
          <cell r="BH28">
            <v>1898</v>
          </cell>
          <cell r="BI28">
            <v>1951</v>
          </cell>
          <cell r="BJ28">
            <v>2004</v>
          </cell>
          <cell r="BK28">
            <v>1987</v>
          </cell>
          <cell r="BL28">
            <v>2040</v>
          </cell>
          <cell r="BM28">
            <v>2004</v>
          </cell>
          <cell r="BN28" t="str">
            <v>14-16日</v>
          </cell>
          <cell r="BO28" t="str">
            <v>超18日</v>
          </cell>
          <cell r="BP28">
            <v>8.5</v>
          </cell>
        </row>
        <row r="29">
          <cell r="A29" t="str">
            <v>GYR2</v>
          </cell>
          <cell r="B29">
            <v>15.3</v>
          </cell>
          <cell r="C29">
            <v>16.1</v>
          </cell>
          <cell r="D29">
            <v>15.5</v>
          </cell>
          <cell r="E29">
            <v>15.2</v>
          </cell>
          <cell r="F29">
            <v>14.8</v>
          </cell>
          <cell r="G29">
            <v>15.1</v>
          </cell>
          <cell r="H29">
            <v>15.4</v>
          </cell>
          <cell r="I29">
            <v>15.3</v>
          </cell>
          <cell r="J29">
            <v>15.6</v>
          </cell>
          <cell r="K29">
            <v>15.4</v>
          </cell>
          <cell r="L29">
            <v>2593</v>
          </cell>
          <cell r="M29">
            <v>2735</v>
          </cell>
          <cell r="N29">
            <v>2628</v>
          </cell>
          <cell r="O29">
            <v>2566</v>
          </cell>
          <cell r="P29">
            <v>2495</v>
          </cell>
          <cell r="Q29">
            <v>2548</v>
          </cell>
          <cell r="R29">
            <v>2601</v>
          </cell>
          <cell r="S29">
            <v>2584</v>
          </cell>
          <cell r="T29">
            <v>2637</v>
          </cell>
          <cell r="U29">
            <v>2601</v>
          </cell>
          <cell r="V29" t="str">
            <v>12-14日</v>
          </cell>
          <cell r="W29" t="str">
            <v>超16日</v>
          </cell>
          <cell r="X29">
            <v>11.7</v>
          </cell>
          <cell r="Y29">
            <v>12.5</v>
          </cell>
          <cell r="Z29">
            <v>11.9</v>
          </cell>
          <cell r="AA29">
            <v>11.6</v>
          </cell>
          <cell r="AB29">
            <v>11.2</v>
          </cell>
          <cell r="AC29">
            <v>11.5</v>
          </cell>
          <cell r="AD29">
            <v>11.8</v>
          </cell>
          <cell r="AE29">
            <v>11.7</v>
          </cell>
          <cell r="AF29">
            <v>12</v>
          </cell>
          <cell r="AG29">
            <v>11.8</v>
          </cell>
          <cell r="AH29">
            <v>2137</v>
          </cell>
          <cell r="AI29">
            <v>2279</v>
          </cell>
          <cell r="AJ29">
            <v>2172</v>
          </cell>
          <cell r="AK29">
            <v>2092</v>
          </cell>
          <cell r="AL29">
            <v>2039</v>
          </cell>
          <cell r="AM29">
            <v>2092</v>
          </cell>
          <cell r="AN29">
            <v>2145</v>
          </cell>
          <cell r="AO29">
            <v>2128</v>
          </cell>
          <cell r="AP29">
            <v>2181</v>
          </cell>
          <cell r="AQ29">
            <v>2145</v>
          </cell>
          <cell r="AR29" t="str">
            <v>13-15日</v>
          </cell>
          <cell r="AS29" t="str">
            <v>超17日</v>
          </cell>
          <cell r="AT29">
            <v>10.9</v>
          </cell>
          <cell r="AU29">
            <v>11.7</v>
          </cell>
          <cell r="AV29">
            <v>11.1</v>
          </cell>
          <cell r="AW29">
            <v>10.8</v>
          </cell>
          <cell r="AX29">
            <v>10.4</v>
          </cell>
          <cell r="AY29">
            <v>10.7</v>
          </cell>
          <cell r="AZ29">
            <v>11</v>
          </cell>
          <cell r="BA29">
            <v>10.9</v>
          </cell>
          <cell r="BB29">
            <v>11.2</v>
          </cell>
          <cell r="BC29">
            <v>11</v>
          </cell>
          <cell r="BD29">
            <v>1996</v>
          </cell>
          <cell r="BE29">
            <v>2138</v>
          </cell>
          <cell r="BF29">
            <v>2031</v>
          </cell>
          <cell r="BG29">
            <v>1951</v>
          </cell>
          <cell r="BH29">
            <v>1898</v>
          </cell>
          <cell r="BI29">
            <v>1951</v>
          </cell>
          <cell r="BJ29">
            <v>2004</v>
          </cell>
          <cell r="BK29">
            <v>1987</v>
          </cell>
          <cell r="BL29">
            <v>2040</v>
          </cell>
          <cell r="BM29">
            <v>2004</v>
          </cell>
          <cell r="BN29" t="str">
            <v>14-16日</v>
          </cell>
          <cell r="BO29" t="str">
            <v>超18日</v>
          </cell>
          <cell r="BP29">
            <v>8.5</v>
          </cell>
        </row>
        <row r="30">
          <cell r="A30" t="str">
            <v>GYR3</v>
          </cell>
          <cell r="B30">
            <v>15.3</v>
          </cell>
          <cell r="C30">
            <v>16.1</v>
          </cell>
          <cell r="D30">
            <v>15.5</v>
          </cell>
          <cell r="E30">
            <v>15.2</v>
          </cell>
          <cell r="F30">
            <v>14.8</v>
          </cell>
          <cell r="G30">
            <v>15.1</v>
          </cell>
          <cell r="H30">
            <v>15.4</v>
          </cell>
          <cell r="I30">
            <v>15.3</v>
          </cell>
          <cell r="J30">
            <v>15.6</v>
          </cell>
          <cell r="K30">
            <v>15.4</v>
          </cell>
          <cell r="L30">
            <v>2593</v>
          </cell>
          <cell r="M30">
            <v>2735</v>
          </cell>
          <cell r="N30">
            <v>2628</v>
          </cell>
          <cell r="O30">
            <v>2566</v>
          </cell>
          <cell r="P30">
            <v>2495</v>
          </cell>
          <cell r="Q30">
            <v>2548</v>
          </cell>
          <cell r="R30">
            <v>2601</v>
          </cell>
          <cell r="S30">
            <v>2584</v>
          </cell>
          <cell r="T30">
            <v>2637</v>
          </cell>
          <cell r="U30">
            <v>2601</v>
          </cell>
          <cell r="V30" t="str">
            <v>12-14日</v>
          </cell>
          <cell r="W30" t="str">
            <v>超16日</v>
          </cell>
          <cell r="X30">
            <v>11.7</v>
          </cell>
          <cell r="Y30">
            <v>12.5</v>
          </cell>
          <cell r="Z30">
            <v>11.9</v>
          </cell>
          <cell r="AA30">
            <v>11.6</v>
          </cell>
          <cell r="AB30">
            <v>11.2</v>
          </cell>
          <cell r="AC30">
            <v>11.5</v>
          </cell>
          <cell r="AD30">
            <v>11.8</v>
          </cell>
          <cell r="AE30">
            <v>11.7</v>
          </cell>
          <cell r="AF30">
            <v>12</v>
          </cell>
          <cell r="AG30">
            <v>11.8</v>
          </cell>
          <cell r="AH30">
            <v>2137</v>
          </cell>
          <cell r="AI30">
            <v>2279</v>
          </cell>
          <cell r="AJ30">
            <v>2172</v>
          </cell>
          <cell r="AK30">
            <v>2092</v>
          </cell>
          <cell r="AL30">
            <v>2039</v>
          </cell>
          <cell r="AM30">
            <v>2092</v>
          </cell>
          <cell r="AN30">
            <v>2145</v>
          </cell>
          <cell r="AO30">
            <v>2128</v>
          </cell>
          <cell r="AP30">
            <v>2181</v>
          </cell>
          <cell r="AQ30">
            <v>2145</v>
          </cell>
          <cell r="AR30" t="str">
            <v>13-15日</v>
          </cell>
          <cell r="AS30" t="str">
            <v>超17日</v>
          </cell>
          <cell r="AT30">
            <v>10.9</v>
          </cell>
          <cell r="AU30">
            <v>11.7</v>
          </cell>
          <cell r="AV30">
            <v>11.1</v>
          </cell>
          <cell r="AW30">
            <v>10.8</v>
          </cell>
          <cell r="AX30">
            <v>10.4</v>
          </cell>
          <cell r="AY30">
            <v>10.7</v>
          </cell>
          <cell r="AZ30">
            <v>11</v>
          </cell>
          <cell r="BA30">
            <v>10.9</v>
          </cell>
          <cell r="BB30">
            <v>11.2</v>
          </cell>
          <cell r="BC30">
            <v>11</v>
          </cell>
          <cell r="BD30">
            <v>1996</v>
          </cell>
          <cell r="BE30">
            <v>2138</v>
          </cell>
          <cell r="BF30">
            <v>2031</v>
          </cell>
          <cell r="BG30">
            <v>1951</v>
          </cell>
          <cell r="BH30">
            <v>1898</v>
          </cell>
          <cell r="BI30">
            <v>1951</v>
          </cell>
          <cell r="BJ30">
            <v>2004</v>
          </cell>
          <cell r="BK30">
            <v>1987</v>
          </cell>
          <cell r="BL30">
            <v>2040</v>
          </cell>
          <cell r="BM30">
            <v>2004</v>
          </cell>
          <cell r="BN30" t="str">
            <v>14-16日</v>
          </cell>
          <cell r="BO30" t="str">
            <v>超18日</v>
          </cell>
          <cell r="BP30">
            <v>8.5</v>
          </cell>
        </row>
        <row r="31">
          <cell r="A31" t="str">
            <v>MIT2</v>
          </cell>
          <cell r="B31" t="str">
            <v>-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>
            <v>11.7</v>
          </cell>
          <cell r="Y31">
            <v>12.5</v>
          </cell>
          <cell r="Z31">
            <v>11.9</v>
          </cell>
          <cell r="AA31">
            <v>11.6</v>
          </cell>
          <cell r="AB31">
            <v>11.2</v>
          </cell>
          <cell r="AC31">
            <v>11.5</v>
          </cell>
          <cell r="AD31">
            <v>11.8</v>
          </cell>
          <cell r="AE31">
            <v>11.7</v>
          </cell>
          <cell r="AF31">
            <v>12</v>
          </cell>
          <cell r="AG31">
            <v>11.8</v>
          </cell>
          <cell r="AH31">
            <v>2137</v>
          </cell>
          <cell r="AI31">
            <v>2279</v>
          </cell>
          <cell r="AJ31">
            <v>2172</v>
          </cell>
          <cell r="AK31">
            <v>2092</v>
          </cell>
          <cell r="AL31">
            <v>2039</v>
          </cell>
          <cell r="AM31">
            <v>2092</v>
          </cell>
          <cell r="AN31">
            <v>2145</v>
          </cell>
          <cell r="AO31">
            <v>2128</v>
          </cell>
          <cell r="AP31">
            <v>2181</v>
          </cell>
          <cell r="AQ31">
            <v>2145</v>
          </cell>
          <cell r="AR31" t="str">
            <v>13-15日</v>
          </cell>
          <cell r="AS31" t="str">
            <v>超17日</v>
          </cell>
          <cell r="AT31">
            <v>10.9</v>
          </cell>
          <cell r="AU31">
            <v>11.7</v>
          </cell>
          <cell r="AV31">
            <v>11.1</v>
          </cell>
          <cell r="AW31">
            <v>10.8</v>
          </cell>
          <cell r="AX31">
            <v>10.4</v>
          </cell>
          <cell r="AY31">
            <v>10.7</v>
          </cell>
          <cell r="AZ31">
            <v>11</v>
          </cell>
          <cell r="BA31">
            <v>10.9</v>
          </cell>
          <cell r="BB31">
            <v>11.2</v>
          </cell>
          <cell r="BC31">
            <v>11</v>
          </cell>
          <cell r="BD31">
            <v>1996</v>
          </cell>
          <cell r="BE31">
            <v>2138</v>
          </cell>
          <cell r="BF31">
            <v>2031</v>
          </cell>
          <cell r="BG31">
            <v>1951</v>
          </cell>
          <cell r="BH31">
            <v>1898</v>
          </cell>
          <cell r="BI31">
            <v>1951</v>
          </cell>
          <cell r="BJ31">
            <v>2004</v>
          </cell>
          <cell r="BK31">
            <v>1987</v>
          </cell>
          <cell r="BL31">
            <v>2040</v>
          </cell>
          <cell r="BM31">
            <v>2004</v>
          </cell>
          <cell r="BN31" t="str">
            <v>14-16日</v>
          </cell>
          <cell r="BO31" t="str">
            <v>超18日</v>
          </cell>
          <cell r="BP31">
            <v>8.5</v>
          </cell>
        </row>
        <row r="32">
          <cell r="A32" t="str">
            <v>VGT2</v>
          </cell>
          <cell r="B32">
            <v>15.3</v>
          </cell>
          <cell r="C32">
            <v>16.1</v>
          </cell>
          <cell r="D32">
            <v>15.5</v>
          </cell>
          <cell r="E32">
            <v>15.2</v>
          </cell>
          <cell r="F32">
            <v>14.8</v>
          </cell>
          <cell r="G32">
            <v>15.1</v>
          </cell>
          <cell r="H32">
            <v>15.4</v>
          </cell>
          <cell r="I32">
            <v>15.3</v>
          </cell>
          <cell r="J32">
            <v>15.6</v>
          </cell>
          <cell r="K32">
            <v>15.4</v>
          </cell>
          <cell r="L32">
            <v>2593</v>
          </cell>
          <cell r="M32">
            <v>2735</v>
          </cell>
          <cell r="N32">
            <v>2628</v>
          </cell>
          <cell r="O32">
            <v>2566</v>
          </cell>
          <cell r="P32">
            <v>2495</v>
          </cell>
          <cell r="Q32">
            <v>2548</v>
          </cell>
          <cell r="R32">
            <v>2601</v>
          </cell>
          <cell r="S32">
            <v>2584</v>
          </cell>
          <cell r="T32">
            <v>2637</v>
          </cell>
          <cell r="U32">
            <v>2601</v>
          </cell>
          <cell r="V32" t="str">
            <v>12-14日</v>
          </cell>
          <cell r="W32" t="str">
            <v>超16日</v>
          </cell>
          <cell r="X32">
            <v>11.7</v>
          </cell>
          <cell r="Y32">
            <v>12.5</v>
          </cell>
          <cell r="Z32">
            <v>11.9</v>
          </cell>
          <cell r="AA32">
            <v>11.6</v>
          </cell>
          <cell r="AB32">
            <v>11.2</v>
          </cell>
          <cell r="AC32">
            <v>11.5</v>
          </cell>
          <cell r="AD32">
            <v>11.8</v>
          </cell>
          <cell r="AE32">
            <v>11.7</v>
          </cell>
          <cell r="AF32">
            <v>12</v>
          </cell>
          <cell r="AG32">
            <v>11.8</v>
          </cell>
          <cell r="AH32">
            <v>2137</v>
          </cell>
          <cell r="AI32">
            <v>2279</v>
          </cell>
          <cell r="AJ32">
            <v>2172</v>
          </cell>
          <cell r="AK32">
            <v>2092</v>
          </cell>
          <cell r="AL32">
            <v>2039</v>
          </cell>
          <cell r="AM32">
            <v>2092</v>
          </cell>
          <cell r="AN32">
            <v>2145</v>
          </cell>
          <cell r="AO32">
            <v>2128</v>
          </cell>
          <cell r="AP32">
            <v>2181</v>
          </cell>
          <cell r="AQ32">
            <v>2145</v>
          </cell>
          <cell r="AR32" t="str">
            <v>13-15日</v>
          </cell>
          <cell r="AS32" t="str">
            <v>超17日</v>
          </cell>
          <cell r="AT32">
            <v>10.9</v>
          </cell>
          <cell r="AU32">
            <v>11.7</v>
          </cell>
          <cell r="AV32">
            <v>11.1</v>
          </cell>
          <cell r="AW32">
            <v>10.8</v>
          </cell>
          <cell r="AX32">
            <v>10.4</v>
          </cell>
          <cell r="AY32">
            <v>10.7</v>
          </cell>
          <cell r="AZ32">
            <v>11</v>
          </cell>
          <cell r="BA32">
            <v>10.9</v>
          </cell>
          <cell r="BB32">
            <v>11.2</v>
          </cell>
          <cell r="BC32">
            <v>11</v>
          </cell>
          <cell r="BD32">
            <v>1996</v>
          </cell>
          <cell r="BE32">
            <v>2138</v>
          </cell>
          <cell r="BF32">
            <v>2031</v>
          </cell>
          <cell r="BG32">
            <v>1951</v>
          </cell>
          <cell r="BH32">
            <v>1898</v>
          </cell>
          <cell r="BI32">
            <v>1951</v>
          </cell>
          <cell r="BJ32">
            <v>2004</v>
          </cell>
          <cell r="BK32">
            <v>1987</v>
          </cell>
          <cell r="BL32">
            <v>2040</v>
          </cell>
          <cell r="BM32">
            <v>2004</v>
          </cell>
          <cell r="BN32" t="str">
            <v>14-16日</v>
          </cell>
          <cell r="BO32" t="str">
            <v>超18日</v>
          </cell>
          <cell r="BP32">
            <v>8.5</v>
          </cell>
        </row>
        <row r="33">
          <cell r="A33" t="str">
            <v>GEU2</v>
          </cell>
          <cell r="B33" t="str">
            <v>-</v>
          </cell>
          <cell r="C33" t="str">
            <v>-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>
            <v>11.7</v>
          </cell>
          <cell r="Y33">
            <v>12.5</v>
          </cell>
          <cell r="Z33">
            <v>11.9</v>
          </cell>
          <cell r="AA33">
            <v>11.6</v>
          </cell>
          <cell r="AB33">
            <v>11.2</v>
          </cell>
          <cell r="AC33">
            <v>11.5</v>
          </cell>
          <cell r="AD33">
            <v>11.8</v>
          </cell>
          <cell r="AE33">
            <v>11.7</v>
          </cell>
          <cell r="AF33">
            <v>12</v>
          </cell>
          <cell r="AG33">
            <v>11.8</v>
          </cell>
          <cell r="AH33">
            <v>2137</v>
          </cell>
          <cell r="AI33">
            <v>2279</v>
          </cell>
          <cell r="AJ33">
            <v>2172</v>
          </cell>
          <cell r="AK33">
            <v>2092</v>
          </cell>
          <cell r="AL33">
            <v>2039</v>
          </cell>
          <cell r="AM33">
            <v>2092</v>
          </cell>
          <cell r="AN33">
            <v>2145</v>
          </cell>
          <cell r="AO33">
            <v>2128</v>
          </cell>
          <cell r="AP33">
            <v>2181</v>
          </cell>
          <cell r="AQ33">
            <v>2145</v>
          </cell>
          <cell r="AR33" t="str">
            <v>13-15日</v>
          </cell>
          <cell r="AS33" t="str">
            <v>超17日</v>
          </cell>
          <cell r="AT33">
            <v>10.9</v>
          </cell>
          <cell r="AU33">
            <v>11.7</v>
          </cell>
          <cell r="AV33">
            <v>11.1</v>
          </cell>
          <cell r="AW33">
            <v>10.8</v>
          </cell>
          <cell r="AX33">
            <v>10.4</v>
          </cell>
          <cell r="AY33">
            <v>10.7</v>
          </cell>
          <cell r="AZ33">
            <v>11</v>
          </cell>
          <cell r="BA33">
            <v>10.9</v>
          </cell>
          <cell r="BB33">
            <v>11.2</v>
          </cell>
          <cell r="BC33">
            <v>11</v>
          </cell>
          <cell r="BD33">
            <v>1996</v>
          </cell>
          <cell r="BE33">
            <v>2138</v>
          </cell>
          <cell r="BF33">
            <v>2031</v>
          </cell>
          <cell r="BG33">
            <v>1951</v>
          </cell>
          <cell r="BH33">
            <v>1898</v>
          </cell>
          <cell r="BI33">
            <v>1951</v>
          </cell>
          <cell r="BJ33">
            <v>2004</v>
          </cell>
          <cell r="BK33">
            <v>1987</v>
          </cell>
          <cell r="BL33">
            <v>2040</v>
          </cell>
          <cell r="BM33">
            <v>2004</v>
          </cell>
          <cell r="BN33" t="str">
            <v>14-16日</v>
          </cell>
          <cell r="BO33" t="str">
            <v>超18日</v>
          </cell>
          <cell r="BP33">
            <v>8.5</v>
          </cell>
        </row>
        <row r="34">
          <cell r="A34" t="str">
            <v>GEU3</v>
          </cell>
          <cell r="B34" t="str">
            <v>-</v>
          </cell>
          <cell r="C34" t="str">
            <v>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>
            <v>11.7</v>
          </cell>
          <cell r="Y34">
            <v>12.5</v>
          </cell>
          <cell r="Z34">
            <v>11.9</v>
          </cell>
          <cell r="AA34">
            <v>11.6</v>
          </cell>
          <cell r="AB34">
            <v>11.2</v>
          </cell>
          <cell r="AC34">
            <v>11.5</v>
          </cell>
          <cell r="AD34">
            <v>11.8</v>
          </cell>
          <cell r="AE34">
            <v>11.7</v>
          </cell>
          <cell r="AF34">
            <v>12</v>
          </cell>
          <cell r="AG34">
            <v>11.8</v>
          </cell>
          <cell r="AH34">
            <v>2137</v>
          </cell>
          <cell r="AI34">
            <v>2279</v>
          </cell>
          <cell r="AJ34">
            <v>2172</v>
          </cell>
          <cell r="AK34">
            <v>2092</v>
          </cell>
          <cell r="AL34">
            <v>2039</v>
          </cell>
          <cell r="AM34">
            <v>2092</v>
          </cell>
          <cell r="AN34">
            <v>2145</v>
          </cell>
          <cell r="AO34">
            <v>2128</v>
          </cell>
          <cell r="AP34">
            <v>2181</v>
          </cell>
          <cell r="AQ34">
            <v>2145</v>
          </cell>
          <cell r="AR34" t="str">
            <v>13-15日</v>
          </cell>
          <cell r="AS34" t="str">
            <v>超17日</v>
          </cell>
          <cell r="AT34">
            <v>10.9</v>
          </cell>
          <cell r="AU34">
            <v>11.7</v>
          </cell>
          <cell r="AV34">
            <v>11.1</v>
          </cell>
          <cell r="AW34">
            <v>10.8</v>
          </cell>
          <cell r="AX34">
            <v>10.4</v>
          </cell>
          <cell r="AY34">
            <v>10.7</v>
          </cell>
          <cell r="AZ34">
            <v>11</v>
          </cell>
          <cell r="BA34">
            <v>10.9</v>
          </cell>
          <cell r="BB34">
            <v>11.2</v>
          </cell>
          <cell r="BC34">
            <v>11</v>
          </cell>
          <cell r="BD34">
            <v>1996</v>
          </cell>
          <cell r="BE34">
            <v>2138</v>
          </cell>
          <cell r="BF34">
            <v>2031</v>
          </cell>
          <cell r="BG34">
            <v>1951</v>
          </cell>
          <cell r="BH34">
            <v>1898</v>
          </cell>
          <cell r="BI34">
            <v>1951</v>
          </cell>
          <cell r="BJ34">
            <v>2004</v>
          </cell>
          <cell r="BK34">
            <v>1987</v>
          </cell>
          <cell r="BL34">
            <v>2040</v>
          </cell>
          <cell r="BM34">
            <v>2004</v>
          </cell>
          <cell r="BN34" t="str">
            <v>14-16日</v>
          </cell>
          <cell r="BO34" t="str">
            <v>超18日</v>
          </cell>
          <cell r="BP34">
            <v>8.5</v>
          </cell>
        </row>
        <row r="35">
          <cell r="A35" t="str">
            <v>HLI2</v>
          </cell>
          <cell r="B35" t="str">
            <v>-</v>
          </cell>
          <cell r="C35" t="str">
            <v>-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>
            <v>11.7</v>
          </cell>
          <cell r="Y35">
            <v>12.5</v>
          </cell>
          <cell r="Z35">
            <v>11.9</v>
          </cell>
          <cell r="AA35">
            <v>11.6</v>
          </cell>
          <cell r="AB35">
            <v>11.2</v>
          </cell>
          <cell r="AC35">
            <v>11.5</v>
          </cell>
          <cell r="AD35">
            <v>11.8</v>
          </cell>
          <cell r="AE35">
            <v>11.7</v>
          </cell>
          <cell r="AF35">
            <v>12</v>
          </cell>
          <cell r="AG35">
            <v>11.8</v>
          </cell>
          <cell r="AH35">
            <v>2137</v>
          </cell>
          <cell r="AI35">
            <v>2279</v>
          </cell>
          <cell r="AJ35">
            <v>2172</v>
          </cell>
          <cell r="AK35">
            <v>2092</v>
          </cell>
          <cell r="AL35">
            <v>2039</v>
          </cell>
          <cell r="AM35">
            <v>2092</v>
          </cell>
          <cell r="AN35">
            <v>2145</v>
          </cell>
          <cell r="AO35">
            <v>2128</v>
          </cell>
          <cell r="AP35">
            <v>2181</v>
          </cell>
          <cell r="AQ35">
            <v>2145</v>
          </cell>
          <cell r="AR35" t="str">
            <v>28-30日</v>
          </cell>
          <cell r="AS35" t="str">
            <v>-</v>
          </cell>
          <cell r="AT35">
            <v>10.9</v>
          </cell>
          <cell r="AU35">
            <v>11.7</v>
          </cell>
          <cell r="AV35">
            <v>11.1</v>
          </cell>
          <cell r="AW35">
            <v>10.8</v>
          </cell>
          <cell r="AX35">
            <v>10.4</v>
          </cell>
          <cell r="AY35">
            <v>10.7</v>
          </cell>
          <cell r="AZ35">
            <v>11</v>
          </cell>
          <cell r="BA35">
            <v>10.9</v>
          </cell>
          <cell r="BB35">
            <v>11.2</v>
          </cell>
          <cell r="BC35">
            <v>11</v>
          </cell>
          <cell r="BD35">
            <v>1996</v>
          </cell>
          <cell r="BE35">
            <v>2138</v>
          </cell>
          <cell r="BF35">
            <v>2031</v>
          </cell>
          <cell r="BG35">
            <v>1951</v>
          </cell>
          <cell r="BH35">
            <v>1898</v>
          </cell>
          <cell r="BI35">
            <v>1951</v>
          </cell>
          <cell r="BJ35">
            <v>2004</v>
          </cell>
          <cell r="BK35">
            <v>1987</v>
          </cell>
          <cell r="BL35">
            <v>2040</v>
          </cell>
          <cell r="BM35">
            <v>2004</v>
          </cell>
          <cell r="BN35" t="str">
            <v>29-31日</v>
          </cell>
          <cell r="BO35" t="str">
            <v>-</v>
          </cell>
          <cell r="BP35">
            <v>8.5</v>
          </cell>
        </row>
        <row r="36">
          <cell r="A36" t="str">
            <v>TCY2</v>
          </cell>
          <cell r="B36" t="str">
            <v>-</v>
          </cell>
          <cell r="C36" t="str">
            <v>-</v>
          </cell>
          <cell r="D36" t="str">
            <v>-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>
            <v>11.7</v>
          </cell>
          <cell r="Y36">
            <v>12.5</v>
          </cell>
          <cell r="Z36">
            <v>11.9</v>
          </cell>
          <cell r="AA36">
            <v>11.6</v>
          </cell>
          <cell r="AB36">
            <v>11.2</v>
          </cell>
          <cell r="AC36">
            <v>11.5</v>
          </cell>
          <cell r="AD36">
            <v>11.8</v>
          </cell>
          <cell r="AE36">
            <v>11.7</v>
          </cell>
          <cell r="AF36">
            <v>12</v>
          </cell>
          <cell r="AG36">
            <v>11.8</v>
          </cell>
          <cell r="AH36">
            <v>2137</v>
          </cell>
          <cell r="AI36">
            <v>2279</v>
          </cell>
          <cell r="AJ36">
            <v>2172</v>
          </cell>
          <cell r="AK36">
            <v>2092</v>
          </cell>
          <cell r="AL36">
            <v>2039</v>
          </cell>
          <cell r="AM36">
            <v>2092</v>
          </cell>
          <cell r="AN36">
            <v>2145</v>
          </cell>
          <cell r="AO36">
            <v>2128</v>
          </cell>
          <cell r="AP36">
            <v>2181</v>
          </cell>
          <cell r="AQ36">
            <v>2145</v>
          </cell>
          <cell r="AR36" t="str">
            <v>13-15日</v>
          </cell>
          <cell r="AS36" t="str">
            <v>-</v>
          </cell>
          <cell r="AT36">
            <v>10.9</v>
          </cell>
          <cell r="AU36">
            <v>11.7</v>
          </cell>
          <cell r="AV36">
            <v>11.1</v>
          </cell>
          <cell r="AW36">
            <v>10.8</v>
          </cell>
          <cell r="AX36">
            <v>10.4</v>
          </cell>
          <cell r="AY36">
            <v>10.7</v>
          </cell>
          <cell r="AZ36">
            <v>11</v>
          </cell>
          <cell r="BA36">
            <v>10.9</v>
          </cell>
          <cell r="BB36">
            <v>11.2</v>
          </cell>
          <cell r="BC36">
            <v>11</v>
          </cell>
          <cell r="BD36">
            <v>1996</v>
          </cell>
          <cell r="BE36">
            <v>2138</v>
          </cell>
          <cell r="BF36">
            <v>2031</v>
          </cell>
          <cell r="BG36">
            <v>1951</v>
          </cell>
          <cell r="BH36">
            <v>1898</v>
          </cell>
          <cell r="BI36">
            <v>1951</v>
          </cell>
          <cell r="BJ36">
            <v>2004</v>
          </cell>
          <cell r="BK36">
            <v>1987</v>
          </cell>
          <cell r="BL36">
            <v>2040</v>
          </cell>
          <cell r="BM36">
            <v>2004</v>
          </cell>
          <cell r="BN36" t="str">
            <v>14-16日</v>
          </cell>
          <cell r="BO36" t="str">
            <v>-</v>
          </cell>
          <cell r="BP36">
            <v>8.5</v>
          </cell>
        </row>
        <row r="37">
          <cell r="A37" t="str">
            <v>TCY1</v>
          </cell>
          <cell r="B37" t="str">
            <v>-</v>
          </cell>
          <cell r="C37" t="str">
            <v>-</v>
          </cell>
          <cell r="D37" t="str">
            <v>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>
            <v>11.7</v>
          </cell>
          <cell r="Y37">
            <v>12.5</v>
          </cell>
          <cell r="Z37">
            <v>11.9</v>
          </cell>
          <cell r="AA37">
            <v>11.6</v>
          </cell>
          <cell r="AB37">
            <v>11.2</v>
          </cell>
          <cell r="AC37">
            <v>11.5</v>
          </cell>
          <cell r="AD37">
            <v>11.8</v>
          </cell>
          <cell r="AE37">
            <v>11.7</v>
          </cell>
          <cell r="AF37">
            <v>12</v>
          </cell>
          <cell r="AG37">
            <v>11.8</v>
          </cell>
          <cell r="AH37">
            <v>2137</v>
          </cell>
          <cell r="AI37">
            <v>2279</v>
          </cell>
          <cell r="AJ37">
            <v>2172</v>
          </cell>
          <cell r="AK37">
            <v>2092</v>
          </cell>
          <cell r="AL37">
            <v>2039</v>
          </cell>
          <cell r="AM37">
            <v>2092</v>
          </cell>
          <cell r="AN37">
            <v>2145</v>
          </cell>
          <cell r="AO37">
            <v>2128</v>
          </cell>
          <cell r="AP37">
            <v>2181</v>
          </cell>
          <cell r="AQ37">
            <v>2145</v>
          </cell>
          <cell r="AR37" t="str">
            <v>13-15日</v>
          </cell>
          <cell r="AS37" t="str">
            <v>-</v>
          </cell>
          <cell r="AT37">
            <v>10.9</v>
          </cell>
          <cell r="AU37">
            <v>11.7</v>
          </cell>
          <cell r="AV37">
            <v>11.1</v>
          </cell>
          <cell r="AW37">
            <v>10.8</v>
          </cell>
          <cell r="AX37">
            <v>10.4</v>
          </cell>
          <cell r="AY37">
            <v>10.7</v>
          </cell>
          <cell r="AZ37">
            <v>11</v>
          </cell>
          <cell r="BA37">
            <v>10.9</v>
          </cell>
          <cell r="BB37">
            <v>11.2</v>
          </cell>
          <cell r="BC37">
            <v>11</v>
          </cell>
          <cell r="BD37">
            <v>1996</v>
          </cell>
          <cell r="BE37">
            <v>2138</v>
          </cell>
          <cell r="BF37">
            <v>2031</v>
          </cell>
          <cell r="BG37">
            <v>1951</v>
          </cell>
          <cell r="BH37">
            <v>1898</v>
          </cell>
          <cell r="BI37">
            <v>1951</v>
          </cell>
          <cell r="BJ37">
            <v>2004</v>
          </cell>
          <cell r="BK37">
            <v>1987</v>
          </cell>
          <cell r="BL37">
            <v>2040</v>
          </cell>
          <cell r="BM37">
            <v>2004</v>
          </cell>
          <cell r="BN37" t="str">
            <v>14-16日</v>
          </cell>
          <cell r="BO37" t="str">
            <v>-</v>
          </cell>
          <cell r="BP37">
            <v>8.5</v>
          </cell>
        </row>
        <row r="38">
          <cell r="A38" t="str">
            <v>QXY8</v>
          </cell>
          <cell r="B38" t="str">
            <v>-</v>
          </cell>
          <cell r="C38" t="str">
            <v>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>
            <v>11.7</v>
          </cell>
          <cell r="Y38">
            <v>12.5</v>
          </cell>
          <cell r="Z38">
            <v>11.9</v>
          </cell>
          <cell r="AA38">
            <v>11.6</v>
          </cell>
          <cell r="AB38">
            <v>11.2</v>
          </cell>
          <cell r="AC38">
            <v>11.5</v>
          </cell>
          <cell r="AD38">
            <v>11.8</v>
          </cell>
          <cell r="AE38">
            <v>11.7</v>
          </cell>
          <cell r="AF38">
            <v>12</v>
          </cell>
          <cell r="AG38">
            <v>11.8</v>
          </cell>
          <cell r="AH38">
            <v>2137</v>
          </cell>
          <cell r="AI38">
            <v>2279</v>
          </cell>
          <cell r="AJ38">
            <v>2172</v>
          </cell>
          <cell r="AK38">
            <v>2092</v>
          </cell>
          <cell r="AL38">
            <v>2039</v>
          </cell>
          <cell r="AM38">
            <v>2092</v>
          </cell>
          <cell r="AN38">
            <v>2145</v>
          </cell>
          <cell r="AO38">
            <v>2128</v>
          </cell>
          <cell r="AP38">
            <v>2181</v>
          </cell>
          <cell r="AQ38">
            <v>2145</v>
          </cell>
          <cell r="AR38" t="str">
            <v>13-15日</v>
          </cell>
          <cell r="AS38" t="str">
            <v>-</v>
          </cell>
          <cell r="AT38">
            <v>10.9</v>
          </cell>
          <cell r="AU38">
            <v>11.7</v>
          </cell>
          <cell r="AV38">
            <v>11.1</v>
          </cell>
          <cell r="AW38">
            <v>10.8</v>
          </cell>
          <cell r="AX38">
            <v>10.4</v>
          </cell>
          <cell r="AY38">
            <v>10.7</v>
          </cell>
          <cell r="AZ38">
            <v>11</v>
          </cell>
          <cell r="BA38">
            <v>10.9</v>
          </cell>
          <cell r="BB38">
            <v>11.2</v>
          </cell>
          <cell r="BC38">
            <v>11</v>
          </cell>
          <cell r="BD38">
            <v>1996</v>
          </cell>
          <cell r="BE38">
            <v>2138</v>
          </cell>
          <cell r="BF38">
            <v>2031</v>
          </cell>
          <cell r="BG38">
            <v>1951</v>
          </cell>
          <cell r="BH38">
            <v>1898</v>
          </cell>
          <cell r="BI38">
            <v>1951</v>
          </cell>
          <cell r="BJ38">
            <v>2004</v>
          </cell>
          <cell r="BK38">
            <v>1987</v>
          </cell>
          <cell r="BL38">
            <v>2040</v>
          </cell>
          <cell r="BM38">
            <v>2004</v>
          </cell>
          <cell r="BN38" t="str">
            <v>14-16日</v>
          </cell>
          <cell r="BO38" t="str">
            <v>-</v>
          </cell>
          <cell r="BP38">
            <v>8.5</v>
          </cell>
        </row>
        <row r="39">
          <cell r="A39" t="str">
            <v>IUTE</v>
          </cell>
          <cell r="B39" t="str">
            <v>-</v>
          </cell>
          <cell r="C39" t="str">
            <v>-</v>
          </cell>
          <cell r="D39" t="str">
            <v>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>
            <v>11.7</v>
          </cell>
          <cell r="Y39">
            <v>12.5</v>
          </cell>
          <cell r="Z39">
            <v>11.9</v>
          </cell>
          <cell r="AA39">
            <v>11.6</v>
          </cell>
          <cell r="AB39">
            <v>11.2</v>
          </cell>
          <cell r="AC39">
            <v>11.5</v>
          </cell>
          <cell r="AD39">
            <v>11.8</v>
          </cell>
          <cell r="AE39">
            <v>11.7</v>
          </cell>
          <cell r="AF39">
            <v>12</v>
          </cell>
          <cell r="AG39">
            <v>11.8</v>
          </cell>
          <cell r="AH39">
            <v>2137</v>
          </cell>
          <cell r="AI39">
            <v>2279</v>
          </cell>
          <cell r="AJ39">
            <v>2172</v>
          </cell>
          <cell r="AK39">
            <v>2092</v>
          </cell>
          <cell r="AL39">
            <v>2039</v>
          </cell>
          <cell r="AM39">
            <v>2092</v>
          </cell>
          <cell r="AN39">
            <v>2145</v>
          </cell>
          <cell r="AO39">
            <v>2128</v>
          </cell>
          <cell r="AP39">
            <v>2181</v>
          </cell>
          <cell r="AQ39">
            <v>2145</v>
          </cell>
          <cell r="AR39" t="str">
            <v>13-15日</v>
          </cell>
          <cell r="AS39" t="str">
            <v>-</v>
          </cell>
          <cell r="AT39">
            <v>10.9</v>
          </cell>
          <cell r="AU39">
            <v>11.7</v>
          </cell>
          <cell r="AV39">
            <v>11.1</v>
          </cell>
          <cell r="AW39">
            <v>10.8</v>
          </cell>
          <cell r="AX39">
            <v>10.4</v>
          </cell>
          <cell r="AY39">
            <v>10.7</v>
          </cell>
          <cell r="AZ39">
            <v>11</v>
          </cell>
          <cell r="BA39">
            <v>10.9</v>
          </cell>
          <cell r="BB39">
            <v>11.2</v>
          </cell>
          <cell r="BC39">
            <v>11</v>
          </cell>
          <cell r="BD39">
            <v>1996</v>
          </cell>
          <cell r="BE39">
            <v>2138</v>
          </cell>
          <cell r="BF39">
            <v>2031</v>
          </cell>
          <cell r="BG39">
            <v>1951</v>
          </cell>
          <cell r="BH39">
            <v>1898</v>
          </cell>
          <cell r="BI39">
            <v>1951</v>
          </cell>
          <cell r="BJ39">
            <v>2004</v>
          </cell>
          <cell r="BK39">
            <v>1987</v>
          </cell>
          <cell r="BL39">
            <v>2040</v>
          </cell>
          <cell r="BM39">
            <v>2004</v>
          </cell>
          <cell r="BN39" t="str">
            <v>14-16日</v>
          </cell>
          <cell r="BO39" t="str">
            <v>-</v>
          </cell>
          <cell r="BP39">
            <v>8.5</v>
          </cell>
        </row>
        <row r="40">
          <cell r="A40" t="str">
            <v>PSP3</v>
          </cell>
          <cell r="B40" t="str">
            <v>-</v>
          </cell>
          <cell r="C40" t="str">
            <v>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>
            <v>11.7</v>
          </cell>
          <cell r="Y40">
            <v>12.5</v>
          </cell>
          <cell r="Z40">
            <v>11.9</v>
          </cell>
          <cell r="AA40">
            <v>11.6</v>
          </cell>
          <cell r="AB40">
            <v>11.2</v>
          </cell>
          <cell r="AC40">
            <v>11.5</v>
          </cell>
          <cell r="AD40">
            <v>11.8</v>
          </cell>
          <cell r="AE40">
            <v>11.7</v>
          </cell>
          <cell r="AF40">
            <v>12</v>
          </cell>
          <cell r="AG40">
            <v>11.8</v>
          </cell>
          <cell r="AH40">
            <v>2137</v>
          </cell>
          <cell r="AI40">
            <v>2279</v>
          </cell>
          <cell r="AJ40">
            <v>2172</v>
          </cell>
          <cell r="AK40">
            <v>2092</v>
          </cell>
          <cell r="AL40">
            <v>2039</v>
          </cell>
          <cell r="AM40">
            <v>2092</v>
          </cell>
          <cell r="AN40">
            <v>2145</v>
          </cell>
          <cell r="AO40">
            <v>2128</v>
          </cell>
          <cell r="AP40">
            <v>2181</v>
          </cell>
          <cell r="AQ40">
            <v>2145</v>
          </cell>
          <cell r="AR40" t="str">
            <v>13-15日</v>
          </cell>
          <cell r="AS40" t="str">
            <v>-</v>
          </cell>
          <cell r="AT40">
            <v>10.9</v>
          </cell>
          <cell r="AU40">
            <v>11.7</v>
          </cell>
          <cell r="AV40">
            <v>11.1</v>
          </cell>
          <cell r="AW40">
            <v>10.8</v>
          </cell>
          <cell r="AX40">
            <v>10.4</v>
          </cell>
          <cell r="AY40">
            <v>10.7</v>
          </cell>
          <cell r="AZ40">
            <v>11</v>
          </cell>
          <cell r="BA40">
            <v>10.9</v>
          </cell>
          <cell r="BB40">
            <v>11.2</v>
          </cell>
          <cell r="BC40">
            <v>11</v>
          </cell>
          <cell r="BD40">
            <v>1996</v>
          </cell>
          <cell r="BE40">
            <v>2138</v>
          </cell>
          <cell r="BF40">
            <v>2031</v>
          </cell>
          <cell r="BG40">
            <v>1951</v>
          </cell>
          <cell r="BH40">
            <v>1898</v>
          </cell>
          <cell r="BI40">
            <v>1951</v>
          </cell>
          <cell r="BJ40">
            <v>2004</v>
          </cell>
          <cell r="BK40">
            <v>1987</v>
          </cell>
          <cell r="BL40">
            <v>2040</v>
          </cell>
          <cell r="BM40">
            <v>2004</v>
          </cell>
          <cell r="BN40" t="str">
            <v>14-16日</v>
          </cell>
          <cell r="BO40" t="str">
            <v>-</v>
          </cell>
          <cell r="BP40">
            <v>8.5</v>
          </cell>
        </row>
        <row r="41">
          <cell r="A41" t="str">
            <v>SCK8</v>
          </cell>
          <cell r="B41" t="str">
            <v>-</v>
          </cell>
          <cell r="C41" t="str">
            <v>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>
            <v>11.7</v>
          </cell>
          <cell r="Y41">
            <v>12.5</v>
          </cell>
          <cell r="Z41">
            <v>11.9</v>
          </cell>
          <cell r="AA41">
            <v>11.6</v>
          </cell>
          <cell r="AB41">
            <v>11.2</v>
          </cell>
          <cell r="AC41">
            <v>11.5</v>
          </cell>
          <cell r="AD41">
            <v>11.8</v>
          </cell>
          <cell r="AE41">
            <v>11.7</v>
          </cell>
          <cell r="AF41">
            <v>12</v>
          </cell>
          <cell r="AG41">
            <v>11.8</v>
          </cell>
          <cell r="AH41">
            <v>2137</v>
          </cell>
          <cell r="AI41">
            <v>2279</v>
          </cell>
          <cell r="AJ41">
            <v>2172</v>
          </cell>
          <cell r="AK41">
            <v>2092</v>
          </cell>
          <cell r="AL41">
            <v>2039</v>
          </cell>
          <cell r="AM41">
            <v>2092</v>
          </cell>
          <cell r="AN41">
            <v>2145</v>
          </cell>
          <cell r="AO41">
            <v>2128</v>
          </cell>
          <cell r="AP41">
            <v>2181</v>
          </cell>
          <cell r="AQ41">
            <v>2145</v>
          </cell>
          <cell r="AR41" t="str">
            <v>13-15日</v>
          </cell>
          <cell r="AS41" t="str">
            <v>-</v>
          </cell>
          <cell r="AT41">
            <v>10.9</v>
          </cell>
          <cell r="AU41">
            <v>11.7</v>
          </cell>
          <cell r="AV41">
            <v>11.1</v>
          </cell>
          <cell r="AW41">
            <v>10.8</v>
          </cell>
          <cell r="AX41">
            <v>10.4</v>
          </cell>
          <cell r="AY41">
            <v>10.7</v>
          </cell>
          <cell r="AZ41">
            <v>11</v>
          </cell>
          <cell r="BA41">
            <v>10.9</v>
          </cell>
          <cell r="BB41">
            <v>11.2</v>
          </cell>
          <cell r="BC41">
            <v>11</v>
          </cell>
          <cell r="BD41">
            <v>1996</v>
          </cell>
          <cell r="BE41">
            <v>2138</v>
          </cell>
          <cell r="BF41">
            <v>2031</v>
          </cell>
          <cell r="BG41">
            <v>1951</v>
          </cell>
          <cell r="BH41">
            <v>1898</v>
          </cell>
          <cell r="BI41">
            <v>1951</v>
          </cell>
          <cell r="BJ41">
            <v>2004</v>
          </cell>
          <cell r="BK41">
            <v>1987</v>
          </cell>
          <cell r="BL41">
            <v>2040</v>
          </cell>
          <cell r="BM41">
            <v>2004</v>
          </cell>
          <cell r="BN41" t="str">
            <v>14-16日</v>
          </cell>
          <cell r="BO41" t="str">
            <v>-</v>
          </cell>
          <cell r="BP41">
            <v>8.5</v>
          </cell>
        </row>
        <row r="42">
          <cell r="A42" t="str">
            <v>SMF6</v>
          </cell>
          <cell r="B42" t="str">
            <v>-</v>
          </cell>
          <cell r="C42" t="str">
            <v>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-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>
            <v>11.9</v>
          </cell>
          <cell r="Y42">
            <v>12.7</v>
          </cell>
          <cell r="Z42">
            <v>12.1</v>
          </cell>
          <cell r="AA42">
            <v>11.8</v>
          </cell>
          <cell r="AB42">
            <v>11.4</v>
          </cell>
          <cell r="AC42">
            <v>11.7</v>
          </cell>
          <cell r="AD42">
            <v>12</v>
          </cell>
          <cell r="AE42">
            <v>11.9</v>
          </cell>
          <cell r="AF42">
            <v>12.2</v>
          </cell>
          <cell r="AG42">
            <v>12</v>
          </cell>
          <cell r="AH42">
            <v>2168</v>
          </cell>
          <cell r="AI42">
            <v>2310</v>
          </cell>
          <cell r="AJ42">
            <v>2203</v>
          </cell>
          <cell r="AK42">
            <v>2122</v>
          </cell>
          <cell r="AL42">
            <v>2069</v>
          </cell>
          <cell r="AM42">
            <v>2122</v>
          </cell>
          <cell r="AN42">
            <v>2175</v>
          </cell>
          <cell r="AO42">
            <v>2158</v>
          </cell>
          <cell r="AP42">
            <v>2211</v>
          </cell>
          <cell r="AQ42">
            <v>2175</v>
          </cell>
          <cell r="AR42" t="str">
            <v>14-21日</v>
          </cell>
          <cell r="AS42" t="str">
            <v>-</v>
          </cell>
          <cell r="AT42">
            <v>11.1</v>
          </cell>
          <cell r="AU42">
            <v>11.9</v>
          </cell>
          <cell r="AV42">
            <v>11.3</v>
          </cell>
          <cell r="AW42">
            <v>11</v>
          </cell>
          <cell r="AX42">
            <v>10.6</v>
          </cell>
          <cell r="AY42">
            <v>10.9</v>
          </cell>
          <cell r="AZ42">
            <v>11.2</v>
          </cell>
          <cell r="BA42">
            <v>11.1</v>
          </cell>
          <cell r="BB42">
            <v>11.4</v>
          </cell>
          <cell r="BC42">
            <v>11.2</v>
          </cell>
          <cell r="BD42">
            <v>2027</v>
          </cell>
          <cell r="BE42">
            <v>2169</v>
          </cell>
          <cell r="BF42">
            <v>2062</v>
          </cell>
          <cell r="BG42">
            <v>1981</v>
          </cell>
          <cell r="BH42">
            <v>1928</v>
          </cell>
          <cell r="BI42">
            <v>1981</v>
          </cell>
          <cell r="BJ42">
            <v>2034</v>
          </cell>
          <cell r="BK42">
            <v>2017</v>
          </cell>
          <cell r="BL42">
            <v>2070</v>
          </cell>
          <cell r="BM42">
            <v>2034</v>
          </cell>
          <cell r="BN42" t="str">
            <v>15-22日</v>
          </cell>
          <cell r="BO42" t="str">
            <v>-</v>
          </cell>
          <cell r="BP42">
            <v>8.7</v>
          </cell>
        </row>
        <row r="43">
          <cell r="A43" t="str">
            <v>SJC7</v>
          </cell>
          <cell r="B43" t="str">
            <v>-</v>
          </cell>
          <cell r="C43" t="str">
            <v>-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>
            <v>11.9</v>
          </cell>
          <cell r="Y43">
            <v>12.7</v>
          </cell>
          <cell r="Z43">
            <v>12.1</v>
          </cell>
          <cell r="AA43">
            <v>11.8</v>
          </cell>
          <cell r="AB43">
            <v>11.4</v>
          </cell>
          <cell r="AC43">
            <v>11.7</v>
          </cell>
          <cell r="AD43">
            <v>12</v>
          </cell>
          <cell r="AE43">
            <v>11.9</v>
          </cell>
          <cell r="AF43">
            <v>12.2</v>
          </cell>
          <cell r="AG43">
            <v>12</v>
          </cell>
          <cell r="AH43">
            <v>2168</v>
          </cell>
          <cell r="AI43">
            <v>2310</v>
          </cell>
          <cell r="AJ43">
            <v>2203</v>
          </cell>
          <cell r="AK43">
            <v>2122</v>
          </cell>
          <cell r="AL43">
            <v>2069</v>
          </cell>
          <cell r="AM43">
            <v>2122</v>
          </cell>
          <cell r="AN43">
            <v>2175</v>
          </cell>
          <cell r="AO43">
            <v>2158</v>
          </cell>
          <cell r="AP43">
            <v>2211</v>
          </cell>
          <cell r="AQ43">
            <v>2175</v>
          </cell>
          <cell r="AR43" t="str">
            <v>14-21日</v>
          </cell>
          <cell r="AS43" t="str">
            <v>-</v>
          </cell>
          <cell r="AT43">
            <v>11.1</v>
          </cell>
          <cell r="AU43">
            <v>11.9</v>
          </cell>
          <cell r="AV43">
            <v>11.3</v>
          </cell>
          <cell r="AW43">
            <v>11</v>
          </cell>
          <cell r="AX43">
            <v>10.6</v>
          </cell>
          <cell r="AY43">
            <v>10.9</v>
          </cell>
          <cell r="AZ43">
            <v>11.2</v>
          </cell>
          <cell r="BA43">
            <v>11.1</v>
          </cell>
          <cell r="BB43">
            <v>11.4</v>
          </cell>
          <cell r="BC43">
            <v>11.2</v>
          </cell>
          <cell r="BD43">
            <v>2027</v>
          </cell>
          <cell r="BE43">
            <v>2169</v>
          </cell>
          <cell r="BF43">
            <v>2062</v>
          </cell>
          <cell r="BG43">
            <v>1981</v>
          </cell>
          <cell r="BH43">
            <v>1928</v>
          </cell>
          <cell r="BI43">
            <v>1981</v>
          </cell>
          <cell r="BJ43">
            <v>2034</v>
          </cell>
          <cell r="BK43">
            <v>2017</v>
          </cell>
          <cell r="BL43">
            <v>2070</v>
          </cell>
          <cell r="BM43">
            <v>2034</v>
          </cell>
          <cell r="BN43" t="str">
            <v>15-22日</v>
          </cell>
          <cell r="BO43" t="str">
            <v>-</v>
          </cell>
          <cell r="BP43">
            <v>8.7</v>
          </cell>
        </row>
        <row r="44">
          <cell r="A44" t="str">
            <v>OAK3</v>
          </cell>
          <cell r="B44" t="str">
            <v>-</v>
          </cell>
          <cell r="C44" t="str">
            <v>-</v>
          </cell>
          <cell r="D44" t="str">
            <v>-</v>
          </cell>
          <cell r="E44" t="str">
            <v>-</v>
          </cell>
          <cell r="F44" t="str">
            <v>-</v>
          </cell>
          <cell r="G44" t="str">
            <v>-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>
            <v>11.9</v>
          </cell>
          <cell r="Y44">
            <v>12.7</v>
          </cell>
          <cell r="Z44">
            <v>12.1</v>
          </cell>
          <cell r="AA44">
            <v>11.8</v>
          </cell>
          <cell r="AB44">
            <v>11.4</v>
          </cell>
          <cell r="AC44">
            <v>11.7</v>
          </cell>
          <cell r="AD44">
            <v>12</v>
          </cell>
          <cell r="AE44">
            <v>11.9</v>
          </cell>
          <cell r="AF44">
            <v>12.2</v>
          </cell>
          <cell r="AG44">
            <v>12</v>
          </cell>
          <cell r="AH44">
            <v>2168</v>
          </cell>
          <cell r="AI44">
            <v>2310</v>
          </cell>
          <cell r="AJ44">
            <v>2203</v>
          </cell>
          <cell r="AK44">
            <v>2122</v>
          </cell>
          <cell r="AL44">
            <v>2069</v>
          </cell>
          <cell r="AM44">
            <v>2122</v>
          </cell>
          <cell r="AN44">
            <v>2175</v>
          </cell>
          <cell r="AO44">
            <v>2158</v>
          </cell>
          <cell r="AP44">
            <v>2211</v>
          </cell>
          <cell r="AQ44">
            <v>2175</v>
          </cell>
          <cell r="AR44" t="str">
            <v>14-21日</v>
          </cell>
          <cell r="AS44" t="str">
            <v>-</v>
          </cell>
          <cell r="AT44">
            <v>11.1</v>
          </cell>
          <cell r="AU44">
            <v>11.9</v>
          </cell>
          <cell r="AV44">
            <v>11.3</v>
          </cell>
          <cell r="AW44">
            <v>11</v>
          </cell>
          <cell r="AX44">
            <v>10.6</v>
          </cell>
          <cell r="AY44">
            <v>10.9</v>
          </cell>
          <cell r="AZ44">
            <v>11.2</v>
          </cell>
          <cell r="BA44">
            <v>11.1</v>
          </cell>
          <cell r="BB44">
            <v>11.4</v>
          </cell>
          <cell r="BC44">
            <v>11.2</v>
          </cell>
          <cell r="BD44">
            <v>2027</v>
          </cell>
          <cell r="BE44">
            <v>2169</v>
          </cell>
          <cell r="BF44">
            <v>2062</v>
          </cell>
          <cell r="BG44">
            <v>1981</v>
          </cell>
          <cell r="BH44">
            <v>1928</v>
          </cell>
          <cell r="BI44">
            <v>1981</v>
          </cell>
          <cell r="BJ44">
            <v>2034</v>
          </cell>
          <cell r="BK44">
            <v>2017</v>
          </cell>
          <cell r="BL44">
            <v>2070</v>
          </cell>
          <cell r="BM44">
            <v>2034</v>
          </cell>
          <cell r="BN44" t="str">
            <v>15-22日</v>
          </cell>
          <cell r="BO44" t="str">
            <v>-</v>
          </cell>
          <cell r="BP44">
            <v>8.7</v>
          </cell>
        </row>
        <row r="45">
          <cell r="A45" t="str">
            <v>SCK1</v>
          </cell>
          <cell r="B45" t="str">
            <v>-</v>
          </cell>
          <cell r="C45" t="str">
            <v>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>
            <v>11.9</v>
          </cell>
          <cell r="Y45">
            <v>12.7</v>
          </cell>
          <cell r="Z45">
            <v>12.1</v>
          </cell>
          <cell r="AA45">
            <v>11.8</v>
          </cell>
          <cell r="AB45">
            <v>11.4</v>
          </cell>
          <cell r="AC45">
            <v>11.7</v>
          </cell>
          <cell r="AD45">
            <v>12</v>
          </cell>
          <cell r="AE45">
            <v>11.9</v>
          </cell>
          <cell r="AF45">
            <v>12.2</v>
          </cell>
          <cell r="AG45">
            <v>12</v>
          </cell>
          <cell r="AH45">
            <v>2168</v>
          </cell>
          <cell r="AI45">
            <v>2310</v>
          </cell>
          <cell r="AJ45">
            <v>2203</v>
          </cell>
          <cell r="AK45">
            <v>2122</v>
          </cell>
          <cell r="AL45">
            <v>2069</v>
          </cell>
          <cell r="AM45">
            <v>2122</v>
          </cell>
          <cell r="AN45">
            <v>2175</v>
          </cell>
          <cell r="AO45">
            <v>2158</v>
          </cell>
          <cell r="AP45">
            <v>2211</v>
          </cell>
          <cell r="AQ45">
            <v>2175</v>
          </cell>
          <cell r="AR45" t="str">
            <v>14-21日</v>
          </cell>
          <cell r="AS45" t="str">
            <v>-</v>
          </cell>
          <cell r="AT45">
            <v>11.1</v>
          </cell>
          <cell r="AU45">
            <v>11.9</v>
          </cell>
          <cell r="AV45">
            <v>11.3</v>
          </cell>
          <cell r="AW45">
            <v>11</v>
          </cell>
          <cell r="AX45">
            <v>10.6</v>
          </cell>
          <cell r="AY45">
            <v>10.9</v>
          </cell>
          <cell r="AZ45">
            <v>11.2</v>
          </cell>
          <cell r="BA45">
            <v>11.1</v>
          </cell>
          <cell r="BB45">
            <v>11.4</v>
          </cell>
          <cell r="BC45">
            <v>11.2</v>
          </cell>
          <cell r="BD45">
            <v>2027</v>
          </cell>
          <cell r="BE45">
            <v>2169</v>
          </cell>
          <cell r="BF45">
            <v>2062</v>
          </cell>
          <cell r="BG45">
            <v>1981</v>
          </cell>
          <cell r="BH45">
            <v>1928</v>
          </cell>
          <cell r="BI45">
            <v>1981</v>
          </cell>
          <cell r="BJ45">
            <v>2034</v>
          </cell>
          <cell r="BK45">
            <v>2017</v>
          </cell>
          <cell r="BL45">
            <v>2070</v>
          </cell>
          <cell r="BM45">
            <v>2034</v>
          </cell>
          <cell r="BN45" t="str">
            <v>15-22日</v>
          </cell>
          <cell r="BO45" t="str">
            <v>-</v>
          </cell>
          <cell r="BP45">
            <v>8.7</v>
          </cell>
        </row>
        <row r="46">
          <cell r="A46" t="str">
            <v>MCE1</v>
          </cell>
          <cell r="B46" t="str">
            <v>-</v>
          </cell>
          <cell r="C46" t="str">
            <v>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-</v>
          </cell>
          <cell r="H46" t="str">
            <v>-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>
            <v>11.9</v>
          </cell>
          <cell r="Y46">
            <v>12.7</v>
          </cell>
          <cell r="Z46">
            <v>12.1</v>
          </cell>
          <cell r="AA46">
            <v>11.8</v>
          </cell>
          <cell r="AB46">
            <v>11.4</v>
          </cell>
          <cell r="AC46">
            <v>11.7</v>
          </cell>
          <cell r="AD46">
            <v>12</v>
          </cell>
          <cell r="AE46">
            <v>11.9</v>
          </cell>
          <cell r="AF46">
            <v>12.2</v>
          </cell>
          <cell r="AG46">
            <v>12</v>
          </cell>
          <cell r="AH46">
            <v>2168</v>
          </cell>
          <cell r="AI46">
            <v>2310</v>
          </cell>
          <cell r="AJ46">
            <v>2203</v>
          </cell>
          <cell r="AK46">
            <v>2122</v>
          </cell>
          <cell r="AL46">
            <v>2069</v>
          </cell>
          <cell r="AM46">
            <v>2122</v>
          </cell>
          <cell r="AN46">
            <v>2175</v>
          </cell>
          <cell r="AO46">
            <v>2158</v>
          </cell>
          <cell r="AP46">
            <v>2211</v>
          </cell>
          <cell r="AQ46">
            <v>2175</v>
          </cell>
          <cell r="AR46" t="str">
            <v>14-21日</v>
          </cell>
          <cell r="AS46" t="str">
            <v>-</v>
          </cell>
          <cell r="AT46">
            <v>11.1</v>
          </cell>
          <cell r="AU46">
            <v>11.9</v>
          </cell>
          <cell r="AV46">
            <v>11.3</v>
          </cell>
          <cell r="AW46">
            <v>11</v>
          </cell>
          <cell r="AX46">
            <v>10.6</v>
          </cell>
          <cell r="AY46">
            <v>10.9</v>
          </cell>
          <cell r="AZ46">
            <v>11.2</v>
          </cell>
          <cell r="BA46">
            <v>11.1</v>
          </cell>
          <cell r="BB46">
            <v>11.4</v>
          </cell>
          <cell r="BC46">
            <v>11.2</v>
          </cell>
          <cell r="BD46">
            <v>2027</v>
          </cell>
          <cell r="BE46">
            <v>2169</v>
          </cell>
          <cell r="BF46">
            <v>2062</v>
          </cell>
          <cell r="BG46">
            <v>1981</v>
          </cell>
          <cell r="BH46">
            <v>1928</v>
          </cell>
          <cell r="BI46">
            <v>1981</v>
          </cell>
          <cell r="BJ46">
            <v>2034</v>
          </cell>
          <cell r="BK46">
            <v>2017</v>
          </cell>
          <cell r="BL46">
            <v>2070</v>
          </cell>
          <cell r="BM46">
            <v>2034</v>
          </cell>
          <cell r="BN46" t="str">
            <v>15-22日</v>
          </cell>
          <cell r="BO46" t="str">
            <v>-</v>
          </cell>
          <cell r="BP46">
            <v>8.7</v>
          </cell>
        </row>
        <row r="47">
          <cell r="A47" t="str">
            <v>FAT2</v>
          </cell>
          <cell r="B47" t="str">
            <v>-</v>
          </cell>
          <cell r="C47" t="str">
            <v>-</v>
          </cell>
          <cell r="D47" t="str">
            <v>-</v>
          </cell>
          <cell r="E47" t="str">
            <v>-</v>
          </cell>
          <cell r="F47" t="str">
            <v>-</v>
          </cell>
          <cell r="G47" t="str">
            <v>-</v>
          </cell>
          <cell r="H47" t="str">
            <v>-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>
            <v>11.9</v>
          </cell>
          <cell r="Y47">
            <v>12.7</v>
          </cell>
          <cell r="Z47">
            <v>12.1</v>
          </cell>
          <cell r="AA47">
            <v>11.8</v>
          </cell>
          <cell r="AB47">
            <v>11.4</v>
          </cell>
          <cell r="AC47">
            <v>11.7</v>
          </cell>
          <cell r="AD47">
            <v>12</v>
          </cell>
          <cell r="AE47">
            <v>11.9</v>
          </cell>
          <cell r="AF47">
            <v>12.2</v>
          </cell>
          <cell r="AG47">
            <v>12</v>
          </cell>
          <cell r="AH47">
            <v>2168</v>
          </cell>
          <cell r="AI47">
            <v>2310</v>
          </cell>
          <cell r="AJ47">
            <v>2203</v>
          </cell>
          <cell r="AK47">
            <v>2122</v>
          </cell>
          <cell r="AL47">
            <v>2069</v>
          </cell>
          <cell r="AM47">
            <v>2122</v>
          </cell>
          <cell r="AN47">
            <v>2175</v>
          </cell>
          <cell r="AO47">
            <v>2158</v>
          </cell>
          <cell r="AP47">
            <v>2211</v>
          </cell>
          <cell r="AQ47">
            <v>2175</v>
          </cell>
          <cell r="AR47" t="str">
            <v>14-21日</v>
          </cell>
          <cell r="AS47" t="str">
            <v>-</v>
          </cell>
          <cell r="AT47">
            <v>11.1</v>
          </cell>
          <cell r="AU47">
            <v>11.9</v>
          </cell>
          <cell r="AV47">
            <v>11.3</v>
          </cell>
          <cell r="AW47">
            <v>11</v>
          </cell>
          <cell r="AX47">
            <v>10.6</v>
          </cell>
          <cell r="AY47">
            <v>10.9</v>
          </cell>
          <cell r="AZ47">
            <v>11.2</v>
          </cell>
          <cell r="BA47">
            <v>11.1</v>
          </cell>
          <cell r="BB47">
            <v>11.4</v>
          </cell>
          <cell r="BC47">
            <v>11.2</v>
          </cell>
          <cell r="BD47">
            <v>2027</v>
          </cell>
          <cell r="BE47">
            <v>2169</v>
          </cell>
          <cell r="BF47">
            <v>2062</v>
          </cell>
          <cell r="BG47">
            <v>1981</v>
          </cell>
          <cell r="BH47">
            <v>1928</v>
          </cell>
          <cell r="BI47">
            <v>1981</v>
          </cell>
          <cell r="BJ47">
            <v>2034</v>
          </cell>
          <cell r="BK47">
            <v>2017</v>
          </cell>
          <cell r="BL47">
            <v>2070</v>
          </cell>
          <cell r="BM47">
            <v>2034</v>
          </cell>
          <cell r="BN47" t="str">
            <v>15-22日</v>
          </cell>
          <cell r="BO47" t="str">
            <v>-</v>
          </cell>
          <cell r="BP47">
            <v>8.7</v>
          </cell>
        </row>
        <row r="48">
          <cell r="A48" t="str">
            <v>LAS6</v>
          </cell>
          <cell r="B48" t="str">
            <v>-</v>
          </cell>
          <cell r="C48" t="str">
            <v>-</v>
          </cell>
          <cell r="D48" t="str">
            <v>-</v>
          </cell>
          <cell r="E48" t="str">
            <v>-</v>
          </cell>
          <cell r="F48" t="str">
            <v>-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>
            <v>11.9</v>
          </cell>
          <cell r="Y48">
            <v>12.7</v>
          </cell>
          <cell r="Z48">
            <v>12.1</v>
          </cell>
          <cell r="AA48">
            <v>11.8</v>
          </cell>
          <cell r="AB48">
            <v>11.4</v>
          </cell>
          <cell r="AC48">
            <v>11.7</v>
          </cell>
          <cell r="AD48">
            <v>12</v>
          </cell>
          <cell r="AE48">
            <v>11.9</v>
          </cell>
          <cell r="AF48">
            <v>12.2</v>
          </cell>
          <cell r="AG48">
            <v>12</v>
          </cell>
          <cell r="AH48">
            <v>2168</v>
          </cell>
          <cell r="AI48">
            <v>2310</v>
          </cell>
          <cell r="AJ48">
            <v>2203</v>
          </cell>
          <cell r="AK48">
            <v>2122</v>
          </cell>
          <cell r="AL48">
            <v>2069</v>
          </cell>
          <cell r="AM48">
            <v>2122</v>
          </cell>
          <cell r="AN48">
            <v>2175</v>
          </cell>
          <cell r="AO48">
            <v>2158</v>
          </cell>
          <cell r="AP48">
            <v>2211</v>
          </cell>
          <cell r="AQ48">
            <v>2175</v>
          </cell>
          <cell r="AR48" t="str">
            <v>14-21日</v>
          </cell>
          <cell r="AS48" t="str">
            <v>-</v>
          </cell>
          <cell r="AT48">
            <v>11.1</v>
          </cell>
          <cell r="AU48">
            <v>11.9</v>
          </cell>
          <cell r="AV48">
            <v>11.3</v>
          </cell>
          <cell r="AW48">
            <v>11</v>
          </cell>
          <cell r="AX48">
            <v>10.6</v>
          </cell>
          <cell r="AY48">
            <v>10.9</v>
          </cell>
          <cell r="AZ48">
            <v>11.2</v>
          </cell>
          <cell r="BA48">
            <v>11.1</v>
          </cell>
          <cell r="BB48">
            <v>11.4</v>
          </cell>
          <cell r="BC48">
            <v>11.2</v>
          </cell>
          <cell r="BD48">
            <v>2027</v>
          </cell>
          <cell r="BE48">
            <v>2169</v>
          </cell>
          <cell r="BF48">
            <v>2062</v>
          </cell>
          <cell r="BG48">
            <v>1981</v>
          </cell>
          <cell r="BH48">
            <v>1928</v>
          </cell>
          <cell r="BI48">
            <v>1981</v>
          </cell>
          <cell r="BJ48">
            <v>2034</v>
          </cell>
          <cell r="BK48">
            <v>2017</v>
          </cell>
          <cell r="BL48">
            <v>2070</v>
          </cell>
          <cell r="BM48">
            <v>2034</v>
          </cell>
          <cell r="BN48" t="str">
            <v>15-22日</v>
          </cell>
          <cell r="BO48" t="str">
            <v>-</v>
          </cell>
          <cell r="BP48">
            <v>8.7</v>
          </cell>
        </row>
        <row r="49">
          <cell r="A49" t="str">
            <v>PHX5</v>
          </cell>
          <cell r="B49" t="str">
            <v>-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G49" t="str">
            <v>-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>
            <v>11.9</v>
          </cell>
          <cell r="Y49">
            <v>12.7</v>
          </cell>
          <cell r="Z49">
            <v>12.1</v>
          </cell>
          <cell r="AA49">
            <v>11.8</v>
          </cell>
          <cell r="AB49">
            <v>11.4</v>
          </cell>
          <cell r="AC49">
            <v>11.7</v>
          </cell>
          <cell r="AD49">
            <v>12</v>
          </cell>
          <cell r="AE49">
            <v>11.9</v>
          </cell>
          <cell r="AF49">
            <v>12.2</v>
          </cell>
          <cell r="AG49">
            <v>12</v>
          </cell>
          <cell r="AH49">
            <v>2168</v>
          </cell>
          <cell r="AI49">
            <v>2310</v>
          </cell>
          <cell r="AJ49">
            <v>2203</v>
          </cell>
          <cell r="AK49">
            <v>2122</v>
          </cell>
          <cell r="AL49">
            <v>2069</v>
          </cell>
          <cell r="AM49">
            <v>2122</v>
          </cell>
          <cell r="AN49">
            <v>2175</v>
          </cell>
          <cell r="AO49">
            <v>2158</v>
          </cell>
          <cell r="AP49">
            <v>2211</v>
          </cell>
          <cell r="AQ49">
            <v>2175</v>
          </cell>
          <cell r="AR49" t="str">
            <v>14-21日</v>
          </cell>
          <cell r="AS49" t="str">
            <v>-</v>
          </cell>
          <cell r="AT49">
            <v>11.1</v>
          </cell>
          <cell r="AU49">
            <v>11.9</v>
          </cell>
          <cell r="AV49">
            <v>11.3</v>
          </cell>
          <cell r="AW49">
            <v>11</v>
          </cell>
          <cell r="AX49">
            <v>10.6</v>
          </cell>
          <cell r="AY49">
            <v>10.9</v>
          </cell>
          <cell r="AZ49">
            <v>11.2</v>
          </cell>
          <cell r="BA49">
            <v>11.1</v>
          </cell>
          <cell r="BB49">
            <v>11.4</v>
          </cell>
          <cell r="BC49">
            <v>11.2</v>
          </cell>
          <cell r="BD49">
            <v>2027</v>
          </cell>
          <cell r="BE49">
            <v>2169</v>
          </cell>
          <cell r="BF49">
            <v>2062</v>
          </cell>
          <cell r="BG49">
            <v>1981</v>
          </cell>
          <cell r="BH49">
            <v>1928</v>
          </cell>
          <cell r="BI49">
            <v>1981</v>
          </cell>
          <cell r="BJ49">
            <v>2034</v>
          </cell>
          <cell r="BK49">
            <v>2017</v>
          </cell>
          <cell r="BL49">
            <v>2070</v>
          </cell>
          <cell r="BM49">
            <v>2034</v>
          </cell>
          <cell r="BN49" t="str">
            <v>15-22日</v>
          </cell>
          <cell r="BO49" t="str">
            <v>-</v>
          </cell>
          <cell r="BP49">
            <v>8.7</v>
          </cell>
        </row>
        <row r="50">
          <cell r="A50" t="str">
            <v>PHX7</v>
          </cell>
          <cell r="B50" t="str">
            <v>-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>
            <v>11.9</v>
          </cell>
          <cell r="Y50">
            <v>12.7</v>
          </cell>
          <cell r="Z50">
            <v>12.1</v>
          </cell>
          <cell r="AA50">
            <v>11.8</v>
          </cell>
          <cell r="AB50">
            <v>11.4</v>
          </cell>
          <cell r="AC50">
            <v>11.7</v>
          </cell>
          <cell r="AD50">
            <v>12</v>
          </cell>
          <cell r="AE50">
            <v>11.9</v>
          </cell>
          <cell r="AF50">
            <v>12.2</v>
          </cell>
          <cell r="AG50">
            <v>12</v>
          </cell>
          <cell r="AH50">
            <v>2168</v>
          </cell>
          <cell r="AI50">
            <v>2310</v>
          </cell>
          <cell r="AJ50">
            <v>2203</v>
          </cell>
          <cell r="AK50">
            <v>2122</v>
          </cell>
          <cell r="AL50">
            <v>2069</v>
          </cell>
          <cell r="AM50">
            <v>2122</v>
          </cell>
          <cell r="AN50">
            <v>2175</v>
          </cell>
          <cell r="AO50">
            <v>2158</v>
          </cell>
          <cell r="AP50">
            <v>2211</v>
          </cell>
          <cell r="AQ50">
            <v>2175</v>
          </cell>
          <cell r="AR50" t="str">
            <v>14-21日</v>
          </cell>
          <cell r="AS50" t="str">
            <v>-</v>
          </cell>
          <cell r="AT50">
            <v>11.1</v>
          </cell>
          <cell r="AU50">
            <v>11.9</v>
          </cell>
          <cell r="AV50">
            <v>11.3</v>
          </cell>
          <cell r="AW50">
            <v>11</v>
          </cell>
          <cell r="AX50">
            <v>10.6</v>
          </cell>
          <cell r="AY50">
            <v>10.9</v>
          </cell>
          <cell r="AZ50">
            <v>11.2</v>
          </cell>
          <cell r="BA50">
            <v>11.1</v>
          </cell>
          <cell r="BB50">
            <v>11.4</v>
          </cell>
          <cell r="BC50">
            <v>11.2</v>
          </cell>
          <cell r="BD50">
            <v>2027</v>
          </cell>
          <cell r="BE50">
            <v>2169</v>
          </cell>
          <cell r="BF50">
            <v>2062</v>
          </cell>
          <cell r="BG50">
            <v>1981</v>
          </cell>
          <cell r="BH50">
            <v>1928</v>
          </cell>
          <cell r="BI50">
            <v>1981</v>
          </cell>
          <cell r="BJ50">
            <v>2034</v>
          </cell>
          <cell r="BK50">
            <v>2017</v>
          </cell>
          <cell r="BL50">
            <v>2070</v>
          </cell>
          <cell r="BM50">
            <v>2034</v>
          </cell>
          <cell r="BN50" t="str">
            <v>15-22日</v>
          </cell>
          <cell r="BO50" t="str">
            <v>-</v>
          </cell>
          <cell r="BP50">
            <v>8.7</v>
          </cell>
        </row>
        <row r="51">
          <cell r="A51" t="str">
            <v>MCC1</v>
          </cell>
          <cell r="B51" t="str">
            <v>-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 t="str">
            <v>-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>
            <v>11.9</v>
          </cell>
          <cell r="Y51">
            <v>12.7</v>
          </cell>
          <cell r="Z51">
            <v>12.1</v>
          </cell>
          <cell r="AA51">
            <v>11.8</v>
          </cell>
          <cell r="AB51">
            <v>11.4</v>
          </cell>
          <cell r="AC51">
            <v>11.7</v>
          </cell>
          <cell r="AD51">
            <v>12</v>
          </cell>
          <cell r="AE51">
            <v>11.9</v>
          </cell>
          <cell r="AF51">
            <v>12.2</v>
          </cell>
          <cell r="AG51">
            <v>12</v>
          </cell>
          <cell r="AH51">
            <v>2168</v>
          </cell>
          <cell r="AI51">
            <v>2310</v>
          </cell>
          <cell r="AJ51">
            <v>2203</v>
          </cell>
          <cell r="AK51">
            <v>2122</v>
          </cell>
          <cell r="AL51">
            <v>2069</v>
          </cell>
          <cell r="AM51">
            <v>2122</v>
          </cell>
          <cell r="AN51">
            <v>2175</v>
          </cell>
          <cell r="AO51">
            <v>2158</v>
          </cell>
          <cell r="AP51">
            <v>2211</v>
          </cell>
          <cell r="AQ51">
            <v>2175</v>
          </cell>
          <cell r="AR51" t="str">
            <v>14-21日</v>
          </cell>
          <cell r="AS51" t="str">
            <v>-</v>
          </cell>
          <cell r="AT51">
            <v>11.1</v>
          </cell>
          <cell r="AU51">
            <v>11.9</v>
          </cell>
          <cell r="AV51">
            <v>11.3</v>
          </cell>
          <cell r="AW51">
            <v>11</v>
          </cell>
          <cell r="AX51">
            <v>10.6</v>
          </cell>
          <cell r="AY51">
            <v>10.9</v>
          </cell>
          <cell r="AZ51">
            <v>11.2</v>
          </cell>
          <cell r="BA51">
            <v>11.1</v>
          </cell>
          <cell r="BB51">
            <v>11.4</v>
          </cell>
          <cell r="BC51">
            <v>11.2</v>
          </cell>
          <cell r="BD51">
            <v>2027</v>
          </cell>
          <cell r="BE51">
            <v>2169</v>
          </cell>
          <cell r="BF51">
            <v>2062</v>
          </cell>
          <cell r="BG51">
            <v>1981</v>
          </cell>
          <cell r="BH51">
            <v>1928</v>
          </cell>
          <cell r="BI51">
            <v>1981</v>
          </cell>
          <cell r="BJ51">
            <v>2034</v>
          </cell>
          <cell r="BK51">
            <v>2017</v>
          </cell>
          <cell r="BL51">
            <v>2070</v>
          </cell>
          <cell r="BM51">
            <v>2034</v>
          </cell>
          <cell r="BN51" t="str">
            <v>15-22日</v>
          </cell>
          <cell r="BO51" t="str">
            <v>-</v>
          </cell>
          <cell r="BP51">
            <v>8.7</v>
          </cell>
        </row>
        <row r="52">
          <cell r="A52" t="str">
            <v>QZZ7</v>
          </cell>
          <cell r="B52" t="str">
            <v>-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>
            <v>11.9</v>
          </cell>
          <cell r="Y52">
            <v>12.7</v>
          </cell>
          <cell r="Z52">
            <v>12.1</v>
          </cell>
          <cell r="AA52">
            <v>11.8</v>
          </cell>
          <cell r="AB52">
            <v>11.4</v>
          </cell>
          <cell r="AC52">
            <v>11.7</v>
          </cell>
          <cell r="AD52">
            <v>12</v>
          </cell>
          <cell r="AE52">
            <v>11.9</v>
          </cell>
          <cell r="AF52">
            <v>12.2</v>
          </cell>
          <cell r="AG52">
            <v>12</v>
          </cell>
          <cell r="AH52">
            <v>2168</v>
          </cell>
          <cell r="AI52">
            <v>2310</v>
          </cell>
          <cell r="AJ52">
            <v>2203</v>
          </cell>
          <cell r="AK52">
            <v>2122</v>
          </cell>
          <cell r="AL52">
            <v>2069</v>
          </cell>
          <cell r="AM52">
            <v>2122</v>
          </cell>
          <cell r="AN52">
            <v>2175</v>
          </cell>
          <cell r="AO52">
            <v>2158</v>
          </cell>
          <cell r="AP52">
            <v>2211</v>
          </cell>
          <cell r="AQ52">
            <v>2175</v>
          </cell>
          <cell r="AR52" t="str">
            <v>14-21日</v>
          </cell>
          <cell r="AS52" t="str">
            <v>-</v>
          </cell>
          <cell r="AT52">
            <v>11.1</v>
          </cell>
          <cell r="AU52">
            <v>11.9</v>
          </cell>
          <cell r="AV52">
            <v>11.3</v>
          </cell>
          <cell r="AW52">
            <v>11</v>
          </cell>
          <cell r="AX52">
            <v>10.6</v>
          </cell>
          <cell r="AY52">
            <v>10.9</v>
          </cell>
          <cell r="AZ52">
            <v>11.2</v>
          </cell>
          <cell r="BA52">
            <v>11.1</v>
          </cell>
          <cell r="BB52">
            <v>11.4</v>
          </cell>
          <cell r="BC52">
            <v>11.2</v>
          </cell>
          <cell r="BD52">
            <v>2027</v>
          </cell>
          <cell r="BE52">
            <v>2169</v>
          </cell>
          <cell r="BF52">
            <v>2062</v>
          </cell>
          <cell r="BG52">
            <v>1981</v>
          </cell>
          <cell r="BH52">
            <v>1928</v>
          </cell>
          <cell r="BI52">
            <v>1981</v>
          </cell>
          <cell r="BJ52">
            <v>2034</v>
          </cell>
          <cell r="BK52">
            <v>2017</v>
          </cell>
          <cell r="BL52">
            <v>2070</v>
          </cell>
          <cell r="BM52">
            <v>2034</v>
          </cell>
          <cell r="BN52" t="str">
            <v>15-22日</v>
          </cell>
          <cell r="BO52" t="str">
            <v>-</v>
          </cell>
          <cell r="BP52">
            <v>8.7</v>
          </cell>
        </row>
        <row r="53">
          <cell r="A53" t="str">
            <v>SLC2</v>
          </cell>
          <cell r="B53" t="str">
            <v>-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>
            <v>12.5</v>
          </cell>
          <cell r="Y53">
            <v>13.3</v>
          </cell>
          <cell r="Z53">
            <v>12.7</v>
          </cell>
          <cell r="AA53">
            <v>12.4</v>
          </cell>
          <cell r="AB53">
            <v>12</v>
          </cell>
          <cell r="AC53">
            <v>12.3</v>
          </cell>
          <cell r="AD53">
            <v>12.6</v>
          </cell>
          <cell r="AE53">
            <v>12.5</v>
          </cell>
          <cell r="AF53">
            <v>12.8</v>
          </cell>
          <cell r="AG53">
            <v>12.6</v>
          </cell>
          <cell r="AH53">
            <v>2281</v>
          </cell>
          <cell r="AI53">
            <v>2423</v>
          </cell>
          <cell r="AJ53">
            <v>2316</v>
          </cell>
          <cell r="AK53">
            <v>2235</v>
          </cell>
          <cell r="AL53">
            <v>2182</v>
          </cell>
          <cell r="AM53">
            <v>2235</v>
          </cell>
          <cell r="AN53">
            <v>2288</v>
          </cell>
          <cell r="AO53">
            <v>2271</v>
          </cell>
          <cell r="AP53">
            <v>2324</v>
          </cell>
          <cell r="AQ53">
            <v>2288</v>
          </cell>
          <cell r="AR53" t="str">
            <v>21-28日</v>
          </cell>
          <cell r="AS53" t="str">
            <v>-</v>
          </cell>
          <cell r="AT53">
            <v>11.7</v>
          </cell>
          <cell r="AU53">
            <v>12.5</v>
          </cell>
          <cell r="AV53">
            <v>11.9</v>
          </cell>
          <cell r="AW53">
            <v>11.6</v>
          </cell>
          <cell r="AX53">
            <v>11.2</v>
          </cell>
          <cell r="AY53">
            <v>11.5</v>
          </cell>
          <cell r="AZ53">
            <v>11.8</v>
          </cell>
          <cell r="BA53">
            <v>11.7</v>
          </cell>
          <cell r="BB53">
            <v>12</v>
          </cell>
          <cell r="BC53">
            <v>11.8</v>
          </cell>
          <cell r="BD53">
            <v>2140</v>
          </cell>
          <cell r="BE53">
            <v>2282</v>
          </cell>
          <cell r="BF53">
            <v>2175</v>
          </cell>
          <cell r="BG53">
            <v>2094</v>
          </cell>
          <cell r="BH53">
            <v>2041</v>
          </cell>
          <cell r="BI53">
            <v>2094</v>
          </cell>
          <cell r="BJ53">
            <v>2147</v>
          </cell>
          <cell r="BK53">
            <v>2130</v>
          </cell>
          <cell r="BL53">
            <v>2183</v>
          </cell>
          <cell r="BM53">
            <v>2147</v>
          </cell>
          <cell r="BN53" t="str">
            <v>22-29日</v>
          </cell>
          <cell r="BO53" t="str">
            <v>-</v>
          </cell>
          <cell r="BP53">
            <v>9.3</v>
          </cell>
        </row>
        <row r="54">
          <cell r="A54" t="str">
            <v>SLC3</v>
          </cell>
          <cell r="B54" t="str">
            <v>-</v>
          </cell>
          <cell r="C54" t="str">
            <v>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-</v>
          </cell>
          <cell r="H54" t="str">
            <v>-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>
            <v>12.5</v>
          </cell>
          <cell r="Y54">
            <v>13.3</v>
          </cell>
          <cell r="Z54">
            <v>12.7</v>
          </cell>
          <cell r="AA54">
            <v>12.4</v>
          </cell>
          <cell r="AB54">
            <v>12</v>
          </cell>
          <cell r="AC54">
            <v>12.3</v>
          </cell>
          <cell r="AD54">
            <v>12.6</v>
          </cell>
          <cell r="AE54">
            <v>12.5</v>
          </cell>
          <cell r="AF54">
            <v>12.8</v>
          </cell>
          <cell r="AG54">
            <v>12.6</v>
          </cell>
          <cell r="AH54">
            <v>2281</v>
          </cell>
          <cell r="AI54">
            <v>2423</v>
          </cell>
          <cell r="AJ54">
            <v>2316</v>
          </cell>
          <cell r="AK54">
            <v>2235</v>
          </cell>
          <cell r="AL54">
            <v>2182</v>
          </cell>
          <cell r="AM54">
            <v>2235</v>
          </cell>
          <cell r="AN54">
            <v>2288</v>
          </cell>
          <cell r="AO54">
            <v>2271</v>
          </cell>
          <cell r="AP54">
            <v>2324</v>
          </cell>
          <cell r="AQ54">
            <v>2288</v>
          </cell>
          <cell r="AR54" t="str">
            <v>21-28日</v>
          </cell>
          <cell r="AS54" t="str">
            <v>-</v>
          </cell>
          <cell r="AT54">
            <v>11.7</v>
          </cell>
          <cell r="AU54">
            <v>12.5</v>
          </cell>
          <cell r="AV54">
            <v>11.9</v>
          </cell>
          <cell r="AW54">
            <v>11.6</v>
          </cell>
          <cell r="AX54">
            <v>11.2</v>
          </cell>
          <cell r="AY54">
            <v>11.5</v>
          </cell>
          <cell r="AZ54">
            <v>11.8</v>
          </cell>
          <cell r="BA54">
            <v>11.7</v>
          </cell>
          <cell r="BB54">
            <v>12</v>
          </cell>
          <cell r="BC54">
            <v>11.8</v>
          </cell>
          <cell r="BD54">
            <v>2140</v>
          </cell>
          <cell r="BE54">
            <v>2282</v>
          </cell>
          <cell r="BF54">
            <v>2175</v>
          </cell>
          <cell r="BG54">
            <v>2094</v>
          </cell>
          <cell r="BH54">
            <v>2041</v>
          </cell>
          <cell r="BI54">
            <v>2094</v>
          </cell>
          <cell r="BJ54">
            <v>2147</v>
          </cell>
          <cell r="BK54">
            <v>2130</v>
          </cell>
          <cell r="BL54">
            <v>2183</v>
          </cell>
          <cell r="BM54">
            <v>2147</v>
          </cell>
          <cell r="BN54" t="str">
            <v>22-29日</v>
          </cell>
          <cell r="BO54" t="str">
            <v>-</v>
          </cell>
          <cell r="BP54">
            <v>9.3</v>
          </cell>
        </row>
        <row r="55">
          <cell r="A55" t="str">
            <v>ABQ2</v>
          </cell>
          <cell r="B55" t="str">
            <v>-</v>
          </cell>
          <cell r="C55" t="str">
            <v>-</v>
          </cell>
          <cell r="D55" t="str">
            <v>-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-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>
            <v>12.5</v>
          </cell>
          <cell r="Y55">
            <v>13.3</v>
          </cell>
          <cell r="Z55">
            <v>12.7</v>
          </cell>
          <cell r="AA55">
            <v>12.4</v>
          </cell>
          <cell r="AB55">
            <v>12</v>
          </cell>
          <cell r="AC55">
            <v>12.3</v>
          </cell>
          <cell r="AD55">
            <v>12.6</v>
          </cell>
          <cell r="AE55">
            <v>12.5</v>
          </cell>
          <cell r="AF55">
            <v>12.8</v>
          </cell>
          <cell r="AG55">
            <v>12.6</v>
          </cell>
          <cell r="AH55">
            <v>2281</v>
          </cell>
          <cell r="AI55">
            <v>2423</v>
          </cell>
          <cell r="AJ55">
            <v>2316</v>
          </cell>
          <cell r="AK55">
            <v>2235</v>
          </cell>
          <cell r="AL55">
            <v>2182</v>
          </cell>
          <cell r="AM55">
            <v>2235</v>
          </cell>
          <cell r="AN55">
            <v>2288</v>
          </cell>
          <cell r="AO55">
            <v>2271</v>
          </cell>
          <cell r="AP55">
            <v>2324</v>
          </cell>
          <cell r="AQ55">
            <v>2288</v>
          </cell>
          <cell r="AR55" t="str">
            <v>21-28日</v>
          </cell>
          <cell r="AS55" t="str">
            <v>-</v>
          </cell>
          <cell r="AT55">
            <v>11.7</v>
          </cell>
          <cell r="AU55">
            <v>12.5</v>
          </cell>
          <cell r="AV55">
            <v>11.9</v>
          </cell>
          <cell r="AW55">
            <v>11.6</v>
          </cell>
          <cell r="AX55">
            <v>11.2</v>
          </cell>
          <cell r="AY55">
            <v>11.5</v>
          </cell>
          <cell r="AZ55">
            <v>11.8</v>
          </cell>
          <cell r="BA55">
            <v>11.7</v>
          </cell>
          <cell r="BB55">
            <v>12</v>
          </cell>
          <cell r="BC55">
            <v>11.8</v>
          </cell>
          <cell r="BD55">
            <v>2140</v>
          </cell>
          <cell r="BE55">
            <v>2282</v>
          </cell>
          <cell r="BF55">
            <v>2175</v>
          </cell>
          <cell r="BG55">
            <v>2094</v>
          </cell>
          <cell r="BH55">
            <v>2041</v>
          </cell>
          <cell r="BI55">
            <v>2094</v>
          </cell>
          <cell r="BJ55">
            <v>2147</v>
          </cell>
          <cell r="BK55">
            <v>2130</v>
          </cell>
          <cell r="BL55">
            <v>2183</v>
          </cell>
          <cell r="BM55">
            <v>2147</v>
          </cell>
          <cell r="BN55" t="str">
            <v>22-29日</v>
          </cell>
          <cell r="BO55" t="str">
            <v>-</v>
          </cell>
          <cell r="BP55">
            <v>9.3</v>
          </cell>
        </row>
        <row r="56">
          <cell r="A56" t="str">
            <v>PDX7</v>
          </cell>
          <cell r="B56" t="str">
            <v>-</v>
          </cell>
          <cell r="C56" t="str">
            <v>-</v>
          </cell>
          <cell r="D56" t="str">
            <v>-</v>
          </cell>
          <cell r="E56" t="str">
            <v>-</v>
          </cell>
          <cell r="F56" t="str">
            <v>-</v>
          </cell>
          <cell r="G56" t="str">
            <v>-</v>
          </cell>
          <cell r="H56" t="str">
            <v>-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>
            <v>13.4</v>
          </cell>
          <cell r="Y56">
            <v>14.2</v>
          </cell>
          <cell r="Z56">
            <v>13.6</v>
          </cell>
          <cell r="AA56">
            <v>13.3</v>
          </cell>
          <cell r="AB56">
            <v>12.9</v>
          </cell>
          <cell r="AC56">
            <v>13.2</v>
          </cell>
          <cell r="AD56">
            <v>13.5</v>
          </cell>
          <cell r="AE56">
            <v>13.4</v>
          </cell>
          <cell r="AF56">
            <v>13.7</v>
          </cell>
          <cell r="AG56">
            <v>13.5</v>
          </cell>
          <cell r="AH56">
            <v>2466</v>
          </cell>
          <cell r="AI56">
            <v>2608</v>
          </cell>
          <cell r="AJ56">
            <v>2501</v>
          </cell>
          <cell r="AK56">
            <v>2420</v>
          </cell>
          <cell r="AL56">
            <v>2367</v>
          </cell>
          <cell r="AM56">
            <v>2420</v>
          </cell>
          <cell r="AN56">
            <v>2473</v>
          </cell>
          <cell r="AO56">
            <v>2456</v>
          </cell>
          <cell r="AP56">
            <v>2509</v>
          </cell>
          <cell r="AQ56">
            <v>2473</v>
          </cell>
          <cell r="AR56" t="str">
            <v>23-27日</v>
          </cell>
          <cell r="AS56" t="str">
            <v>-</v>
          </cell>
          <cell r="AT56">
            <v>12.6</v>
          </cell>
          <cell r="AU56">
            <v>13.4</v>
          </cell>
          <cell r="AV56">
            <v>12.8</v>
          </cell>
          <cell r="AW56">
            <v>12.5</v>
          </cell>
          <cell r="AX56">
            <v>12.1</v>
          </cell>
          <cell r="AY56">
            <v>12.4</v>
          </cell>
          <cell r="AZ56">
            <v>12.7</v>
          </cell>
          <cell r="BA56">
            <v>12.6</v>
          </cell>
          <cell r="BB56">
            <v>12.9</v>
          </cell>
          <cell r="BC56">
            <v>12.7</v>
          </cell>
          <cell r="BD56">
            <v>2325</v>
          </cell>
          <cell r="BE56">
            <v>2467</v>
          </cell>
          <cell r="BF56">
            <v>2360</v>
          </cell>
          <cell r="BG56">
            <v>2279</v>
          </cell>
          <cell r="BH56">
            <v>2226</v>
          </cell>
          <cell r="BI56">
            <v>2279</v>
          </cell>
          <cell r="BJ56">
            <v>2332</v>
          </cell>
          <cell r="BK56">
            <v>2315</v>
          </cell>
          <cell r="BL56">
            <v>2368</v>
          </cell>
          <cell r="BM56">
            <v>2332</v>
          </cell>
          <cell r="BN56" t="str">
            <v>24-28日</v>
          </cell>
          <cell r="BO56" t="str">
            <v>-</v>
          </cell>
          <cell r="BP56">
            <v>10.2</v>
          </cell>
        </row>
        <row r="57">
          <cell r="A57" t="str">
            <v>BFI3</v>
          </cell>
          <cell r="B57" t="str">
            <v>-</v>
          </cell>
          <cell r="C57" t="str">
            <v>-</v>
          </cell>
          <cell r="D57" t="str">
            <v>-</v>
          </cell>
          <cell r="E57" t="str">
            <v>-</v>
          </cell>
          <cell r="F57" t="str">
            <v>-</v>
          </cell>
          <cell r="G57" t="str">
            <v>-</v>
          </cell>
          <cell r="H57" t="str">
            <v>-</v>
          </cell>
          <cell r="I57" t="str">
            <v>-</v>
          </cell>
          <cell r="J57" t="str">
            <v>-</v>
          </cell>
          <cell r="K57" t="str">
            <v>-</v>
          </cell>
          <cell r="L57" t="str">
            <v>-</v>
          </cell>
          <cell r="M57" t="str">
            <v>-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>
            <v>13.4</v>
          </cell>
          <cell r="Y57">
            <v>14.2</v>
          </cell>
          <cell r="Z57">
            <v>13.6</v>
          </cell>
          <cell r="AA57">
            <v>13.3</v>
          </cell>
          <cell r="AB57">
            <v>12.9</v>
          </cell>
          <cell r="AC57">
            <v>13.2</v>
          </cell>
          <cell r="AD57">
            <v>13.5</v>
          </cell>
          <cell r="AE57">
            <v>13.4</v>
          </cell>
          <cell r="AF57">
            <v>13.7</v>
          </cell>
          <cell r="AG57">
            <v>13.5</v>
          </cell>
          <cell r="AH57">
            <v>2466</v>
          </cell>
          <cell r="AI57">
            <v>2608</v>
          </cell>
          <cell r="AJ57">
            <v>2501</v>
          </cell>
          <cell r="AK57">
            <v>2420</v>
          </cell>
          <cell r="AL57">
            <v>2367</v>
          </cell>
          <cell r="AM57">
            <v>2420</v>
          </cell>
          <cell r="AN57">
            <v>2473</v>
          </cell>
          <cell r="AO57">
            <v>2456</v>
          </cell>
          <cell r="AP57">
            <v>2509</v>
          </cell>
          <cell r="AQ57">
            <v>2473</v>
          </cell>
          <cell r="AR57" t="str">
            <v>23-27日</v>
          </cell>
          <cell r="AS57" t="str">
            <v>-</v>
          </cell>
          <cell r="AT57">
            <v>12.6</v>
          </cell>
          <cell r="AU57">
            <v>13.4</v>
          </cell>
          <cell r="AV57">
            <v>12.8</v>
          </cell>
          <cell r="AW57">
            <v>12.5</v>
          </cell>
          <cell r="AX57">
            <v>12.1</v>
          </cell>
          <cell r="AY57">
            <v>12.4</v>
          </cell>
          <cell r="AZ57">
            <v>12.7</v>
          </cell>
          <cell r="BA57">
            <v>12.6</v>
          </cell>
          <cell r="BB57">
            <v>12.9</v>
          </cell>
          <cell r="BC57">
            <v>12.7</v>
          </cell>
          <cell r="BD57">
            <v>2325</v>
          </cell>
          <cell r="BE57">
            <v>2467</v>
          </cell>
          <cell r="BF57">
            <v>2360</v>
          </cell>
          <cell r="BG57">
            <v>2279</v>
          </cell>
          <cell r="BH57">
            <v>2226</v>
          </cell>
          <cell r="BI57">
            <v>2279</v>
          </cell>
          <cell r="BJ57">
            <v>2332</v>
          </cell>
          <cell r="BK57">
            <v>2315</v>
          </cell>
          <cell r="BL57">
            <v>2368</v>
          </cell>
          <cell r="BM57">
            <v>2332</v>
          </cell>
          <cell r="BN57" t="str">
            <v>24-28日</v>
          </cell>
          <cell r="BO57" t="str">
            <v>-</v>
          </cell>
          <cell r="BP57">
            <v>10.2</v>
          </cell>
        </row>
        <row r="58">
          <cell r="A58" t="str">
            <v>GEG2</v>
          </cell>
          <cell r="B58" t="str">
            <v>-</v>
          </cell>
          <cell r="C58" t="str">
            <v>-</v>
          </cell>
          <cell r="D58" t="str">
            <v>-</v>
          </cell>
          <cell r="E58" t="str">
            <v>-</v>
          </cell>
          <cell r="F58" t="str">
            <v>-</v>
          </cell>
          <cell r="G58" t="str">
            <v>-</v>
          </cell>
          <cell r="H58" t="str">
            <v>-</v>
          </cell>
          <cell r="I58" t="str">
            <v>-</v>
          </cell>
          <cell r="J58" t="str">
            <v>-</v>
          </cell>
          <cell r="K58" t="str">
            <v>-</v>
          </cell>
          <cell r="L58" t="str">
            <v>-</v>
          </cell>
          <cell r="M58" t="str">
            <v>-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>
            <v>13.4</v>
          </cell>
          <cell r="Y58">
            <v>14.2</v>
          </cell>
          <cell r="Z58">
            <v>13.6</v>
          </cell>
          <cell r="AA58">
            <v>13.3</v>
          </cell>
          <cell r="AB58">
            <v>12.9</v>
          </cell>
          <cell r="AC58">
            <v>13.2</v>
          </cell>
          <cell r="AD58">
            <v>13.5</v>
          </cell>
          <cell r="AE58">
            <v>13.4</v>
          </cell>
          <cell r="AF58">
            <v>13.7</v>
          </cell>
          <cell r="AG58">
            <v>13.5</v>
          </cell>
          <cell r="AH58">
            <v>2466</v>
          </cell>
          <cell r="AI58">
            <v>2608</v>
          </cell>
          <cell r="AJ58">
            <v>2501</v>
          </cell>
          <cell r="AK58">
            <v>2420</v>
          </cell>
          <cell r="AL58">
            <v>2367</v>
          </cell>
          <cell r="AM58">
            <v>2420</v>
          </cell>
          <cell r="AN58">
            <v>2473</v>
          </cell>
          <cell r="AO58">
            <v>2456</v>
          </cell>
          <cell r="AP58">
            <v>2509</v>
          </cell>
          <cell r="AQ58">
            <v>2473</v>
          </cell>
          <cell r="AR58" t="str">
            <v>23-27日</v>
          </cell>
          <cell r="AS58" t="str">
            <v>-</v>
          </cell>
          <cell r="AT58">
            <v>12.6</v>
          </cell>
          <cell r="AU58">
            <v>13.4</v>
          </cell>
          <cell r="AV58">
            <v>12.8</v>
          </cell>
          <cell r="AW58">
            <v>12.5</v>
          </cell>
          <cell r="AX58">
            <v>12.1</v>
          </cell>
          <cell r="AY58">
            <v>12.4</v>
          </cell>
          <cell r="AZ58">
            <v>12.7</v>
          </cell>
          <cell r="BA58">
            <v>12.6</v>
          </cell>
          <cell r="BB58">
            <v>12.9</v>
          </cell>
          <cell r="BC58">
            <v>12.7</v>
          </cell>
          <cell r="BD58">
            <v>2325</v>
          </cell>
          <cell r="BE58">
            <v>2467</v>
          </cell>
          <cell r="BF58">
            <v>2360</v>
          </cell>
          <cell r="BG58">
            <v>2279</v>
          </cell>
          <cell r="BH58">
            <v>2226</v>
          </cell>
          <cell r="BI58">
            <v>2279</v>
          </cell>
          <cell r="BJ58">
            <v>2332</v>
          </cell>
          <cell r="BK58">
            <v>2315</v>
          </cell>
          <cell r="BL58">
            <v>2368</v>
          </cell>
          <cell r="BM58">
            <v>2332</v>
          </cell>
          <cell r="BN58" t="str">
            <v>24-28日</v>
          </cell>
          <cell r="BO58" t="str">
            <v>-</v>
          </cell>
          <cell r="BP58">
            <v>10.2</v>
          </cell>
        </row>
        <row r="59">
          <cell r="A59" t="str">
            <v>PSC2</v>
          </cell>
          <cell r="B59" t="str">
            <v>-</v>
          </cell>
          <cell r="C59" t="str">
            <v>-</v>
          </cell>
          <cell r="D59" t="str">
            <v>-</v>
          </cell>
          <cell r="E59" t="str">
            <v>-</v>
          </cell>
          <cell r="F59" t="str">
            <v>-</v>
          </cell>
          <cell r="G59" t="str">
            <v>-</v>
          </cell>
          <cell r="H59" t="str">
            <v>-</v>
          </cell>
          <cell r="I59" t="str">
            <v>-</v>
          </cell>
          <cell r="J59" t="str">
            <v>-</v>
          </cell>
          <cell r="K59" t="str">
            <v>-</v>
          </cell>
          <cell r="L59" t="str">
            <v>-</v>
          </cell>
          <cell r="M59" t="str">
            <v>-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  <cell r="V59" t="str">
            <v>-</v>
          </cell>
          <cell r="W59" t="str">
            <v>-</v>
          </cell>
          <cell r="X59">
            <v>13.4</v>
          </cell>
          <cell r="Y59">
            <v>14.2</v>
          </cell>
          <cell r="Z59">
            <v>13.6</v>
          </cell>
          <cell r="AA59">
            <v>13.3</v>
          </cell>
          <cell r="AB59">
            <v>12.9</v>
          </cell>
          <cell r="AC59">
            <v>13.2</v>
          </cell>
          <cell r="AD59">
            <v>13.5</v>
          </cell>
          <cell r="AE59">
            <v>13.4</v>
          </cell>
          <cell r="AF59">
            <v>13.7</v>
          </cell>
          <cell r="AG59">
            <v>13.5</v>
          </cell>
          <cell r="AH59">
            <v>2466</v>
          </cell>
          <cell r="AI59">
            <v>2608</v>
          </cell>
          <cell r="AJ59">
            <v>2501</v>
          </cell>
          <cell r="AK59">
            <v>2420</v>
          </cell>
          <cell r="AL59">
            <v>2367</v>
          </cell>
          <cell r="AM59">
            <v>2420</v>
          </cell>
          <cell r="AN59">
            <v>2473</v>
          </cell>
          <cell r="AO59">
            <v>2456</v>
          </cell>
          <cell r="AP59">
            <v>2509</v>
          </cell>
          <cell r="AQ59">
            <v>2473</v>
          </cell>
          <cell r="AR59" t="str">
            <v>23-27日</v>
          </cell>
          <cell r="AS59" t="str">
            <v>-</v>
          </cell>
          <cell r="AT59">
            <v>12.6</v>
          </cell>
          <cell r="AU59">
            <v>13.4</v>
          </cell>
          <cell r="AV59">
            <v>12.8</v>
          </cell>
          <cell r="AW59">
            <v>12.5</v>
          </cell>
          <cell r="AX59">
            <v>12.1</v>
          </cell>
          <cell r="AY59">
            <v>12.4</v>
          </cell>
          <cell r="AZ59">
            <v>12.7</v>
          </cell>
          <cell r="BA59">
            <v>12.6</v>
          </cell>
          <cell r="BB59">
            <v>12.9</v>
          </cell>
          <cell r="BC59">
            <v>12.7</v>
          </cell>
          <cell r="BD59">
            <v>2325</v>
          </cell>
          <cell r="BE59">
            <v>2467</v>
          </cell>
          <cell r="BF59">
            <v>2360</v>
          </cell>
          <cell r="BG59">
            <v>2279</v>
          </cell>
          <cell r="BH59">
            <v>2226</v>
          </cell>
          <cell r="BI59">
            <v>2279</v>
          </cell>
          <cell r="BJ59">
            <v>2332</v>
          </cell>
          <cell r="BK59">
            <v>2315</v>
          </cell>
          <cell r="BL59">
            <v>2368</v>
          </cell>
          <cell r="BM59">
            <v>2332</v>
          </cell>
          <cell r="BN59" t="str">
            <v>24-28日</v>
          </cell>
          <cell r="BO59" t="str">
            <v>-</v>
          </cell>
          <cell r="BP59">
            <v>10.2</v>
          </cell>
        </row>
        <row r="60">
          <cell r="A60" t="str">
            <v>DEN8</v>
          </cell>
          <cell r="B60" t="str">
            <v>-</v>
          </cell>
          <cell r="C60" t="str">
            <v>-</v>
          </cell>
          <cell r="D60" t="str">
            <v>-</v>
          </cell>
          <cell r="E60" t="str">
            <v>-</v>
          </cell>
          <cell r="F60" t="str">
            <v>-</v>
          </cell>
          <cell r="G60" t="str">
            <v>-</v>
          </cell>
          <cell r="H60" t="str">
            <v>-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>
            <v>13.4</v>
          </cell>
          <cell r="Y60">
            <v>14.2</v>
          </cell>
          <cell r="Z60">
            <v>13.6</v>
          </cell>
          <cell r="AA60">
            <v>13.3</v>
          </cell>
          <cell r="AB60">
            <v>12.9</v>
          </cell>
          <cell r="AC60">
            <v>13.2</v>
          </cell>
          <cell r="AD60">
            <v>13.5</v>
          </cell>
          <cell r="AE60">
            <v>13.4</v>
          </cell>
          <cell r="AF60">
            <v>13.7</v>
          </cell>
          <cell r="AG60">
            <v>13.5</v>
          </cell>
          <cell r="AH60">
            <v>2466</v>
          </cell>
          <cell r="AI60">
            <v>2608</v>
          </cell>
          <cell r="AJ60">
            <v>2501</v>
          </cell>
          <cell r="AK60">
            <v>2420</v>
          </cell>
          <cell r="AL60">
            <v>2367</v>
          </cell>
          <cell r="AM60">
            <v>2420</v>
          </cell>
          <cell r="AN60">
            <v>2473</v>
          </cell>
          <cell r="AO60">
            <v>2456</v>
          </cell>
          <cell r="AP60">
            <v>2509</v>
          </cell>
          <cell r="AQ60">
            <v>2473</v>
          </cell>
          <cell r="AR60" t="str">
            <v>23-27日</v>
          </cell>
          <cell r="AS60" t="str">
            <v>-</v>
          </cell>
          <cell r="AT60">
            <v>12.6</v>
          </cell>
          <cell r="AU60">
            <v>13.4</v>
          </cell>
          <cell r="AV60">
            <v>12.8</v>
          </cell>
          <cell r="AW60">
            <v>12.5</v>
          </cell>
          <cell r="AX60">
            <v>12.1</v>
          </cell>
          <cell r="AY60">
            <v>12.4</v>
          </cell>
          <cell r="AZ60">
            <v>12.7</v>
          </cell>
          <cell r="BA60">
            <v>12.6</v>
          </cell>
          <cell r="BB60">
            <v>12.9</v>
          </cell>
          <cell r="BC60">
            <v>12.7</v>
          </cell>
          <cell r="BD60">
            <v>2325</v>
          </cell>
          <cell r="BE60">
            <v>2467</v>
          </cell>
          <cell r="BF60">
            <v>2360</v>
          </cell>
          <cell r="BG60">
            <v>2279</v>
          </cell>
          <cell r="BH60">
            <v>2226</v>
          </cell>
          <cell r="BI60">
            <v>2279</v>
          </cell>
          <cell r="BJ60">
            <v>2332</v>
          </cell>
          <cell r="BK60">
            <v>2315</v>
          </cell>
          <cell r="BL60">
            <v>2368</v>
          </cell>
          <cell r="BM60">
            <v>2332</v>
          </cell>
          <cell r="BN60" t="str">
            <v>24-28日</v>
          </cell>
          <cell r="BO60" t="str">
            <v>-</v>
          </cell>
          <cell r="BP60">
            <v>10.2</v>
          </cell>
        </row>
        <row r="61">
          <cell r="A61" t="str">
            <v>OKC2</v>
          </cell>
          <cell r="B61" t="str">
            <v>-</v>
          </cell>
          <cell r="C61" t="str">
            <v>-</v>
          </cell>
          <cell r="D61" t="str">
            <v>-</v>
          </cell>
          <cell r="E61" t="str">
            <v>-</v>
          </cell>
          <cell r="F61" t="str">
            <v>-</v>
          </cell>
          <cell r="G61" t="str">
            <v>-</v>
          </cell>
          <cell r="H61" t="str">
            <v>-</v>
          </cell>
          <cell r="I61" t="str">
            <v>-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-</v>
          </cell>
          <cell r="P61" t="str">
            <v>-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-</v>
          </cell>
          <cell r="U61" t="str">
            <v>-</v>
          </cell>
          <cell r="V61" t="str">
            <v>-</v>
          </cell>
          <cell r="W61" t="str">
            <v>-</v>
          </cell>
          <cell r="X61">
            <v>13.4</v>
          </cell>
          <cell r="Y61">
            <v>14.2</v>
          </cell>
          <cell r="Z61">
            <v>13.6</v>
          </cell>
          <cell r="AA61">
            <v>13.3</v>
          </cell>
          <cell r="AB61">
            <v>12.9</v>
          </cell>
          <cell r="AC61">
            <v>13.2</v>
          </cell>
          <cell r="AD61">
            <v>13.5</v>
          </cell>
          <cell r="AE61">
            <v>13.4</v>
          </cell>
          <cell r="AF61">
            <v>13.7</v>
          </cell>
          <cell r="AG61">
            <v>13.5</v>
          </cell>
          <cell r="AH61">
            <v>2466</v>
          </cell>
          <cell r="AI61">
            <v>2608</v>
          </cell>
          <cell r="AJ61">
            <v>2501</v>
          </cell>
          <cell r="AK61">
            <v>2420</v>
          </cell>
          <cell r="AL61">
            <v>2367</v>
          </cell>
          <cell r="AM61">
            <v>2420</v>
          </cell>
          <cell r="AN61">
            <v>2473</v>
          </cell>
          <cell r="AO61">
            <v>2456</v>
          </cell>
          <cell r="AP61">
            <v>2509</v>
          </cell>
          <cell r="AQ61">
            <v>2473</v>
          </cell>
          <cell r="AR61" t="str">
            <v>23-27日</v>
          </cell>
          <cell r="AS61" t="str">
            <v>-</v>
          </cell>
          <cell r="AT61">
            <v>12.6</v>
          </cell>
          <cell r="AU61">
            <v>13.4</v>
          </cell>
          <cell r="AV61">
            <v>12.8</v>
          </cell>
          <cell r="AW61">
            <v>12.5</v>
          </cell>
          <cell r="AX61">
            <v>12.1</v>
          </cell>
          <cell r="AY61">
            <v>12.4</v>
          </cell>
          <cell r="AZ61">
            <v>12.7</v>
          </cell>
          <cell r="BA61">
            <v>12.6</v>
          </cell>
          <cell r="BB61">
            <v>12.9</v>
          </cell>
          <cell r="BC61">
            <v>12.7</v>
          </cell>
          <cell r="BD61">
            <v>2325</v>
          </cell>
          <cell r="BE61">
            <v>2467</v>
          </cell>
          <cell r="BF61">
            <v>2360</v>
          </cell>
          <cell r="BG61">
            <v>2279</v>
          </cell>
          <cell r="BH61">
            <v>2226</v>
          </cell>
          <cell r="BI61">
            <v>2279</v>
          </cell>
          <cell r="BJ61">
            <v>2332</v>
          </cell>
          <cell r="BK61">
            <v>2315</v>
          </cell>
          <cell r="BL61">
            <v>2368</v>
          </cell>
          <cell r="BM61">
            <v>2332</v>
          </cell>
          <cell r="BN61" t="str">
            <v>24-28日</v>
          </cell>
          <cell r="BO61" t="str">
            <v>-</v>
          </cell>
          <cell r="BP61">
            <v>10.2</v>
          </cell>
        </row>
        <row r="62">
          <cell r="A62" t="str">
            <v>FTW1</v>
          </cell>
          <cell r="B62">
            <v>17.2</v>
          </cell>
          <cell r="C62">
            <v>18</v>
          </cell>
          <cell r="D62">
            <v>17.4</v>
          </cell>
          <cell r="E62">
            <v>17.1</v>
          </cell>
          <cell r="F62">
            <v>16.7</v>
          </cell>
          <cell r="G62">
            <v>17</v>
          </cell>
          <cell r="H62">
            <v>17.3</v>
          </cell>
          <cell r="I62">
            <v>17.2</v>
          </cell>
          <cell r="J62">
            <v>17.5</v>
          </cell>
          <cell r="K62">
            <v>17.3</v>
          </cell>
          <cell r="L62">
            <v>2963</v>
          </cell>
          <cell r="M62">
            <v>3105</v>
          </cell>
          <cell r="N62">
            <v>2998</v>
          </cell>
          <cell r="O62">
            <v>2936</v>
          </cell>
          <cell r="P62">
            <v>2865</v>
          </cell>
          <cell r="Q62">
            <v>2918</v>
          </cell>
          <cell r="R62">
            <v>2971</v>
          </cell>
          <cell r="S62">
            <v>2954</v>
          </cell>
          <cell r="T62">
            <v>3007</v>
          </cell>
          <cell r="U62">
            <v>2971</v>
          </cell>
          <cell r="V62" t="str">
            <v>20-21日</v>
          </cell>
          <cell r="W62" t="str">
            <v>超22日</v>
          </cell>
          <cell r="X62">
            <v>13.3</v>
          </cell>
          <cell r="Y62">
            <v>14.1</v>
          </cell>
          <cell r="Z62">
            <v>13.5</v>
          </cell>
          <cell r="AA62">
            <v>13.2</v>
          </cell>
          <cell r="AB62">
            <v>12.8</v>
          </cell>
          <cell r="AC62">
            <v>13.1</v>
          </cell>
          <cell r="AD62">
            <v>13.4</v>
          </cell>
          <cell r="AE62">
            <v>13.3</v>
          </cell>
          <cell r="AF62">
            <v>13.6</v>
          </cell>
          <cell r="AG62">
            <v>13.4</v>
          </cell>
          <cell r="AH62">
            <v>2415</v>
          </cell>
          <cell r="AI62">
            <v>2557</v>
          </cell>
          <cell r="AJ62">
            <v>2450</v>
          </cell>
          <cell r="AK62">
            <v>2369</v>
          </cell>
          <cell r="AL62">
            <v>2316</v>
          </cell>
          <cell r="AM62">
            <v>2369</v>
          </cell>
          <cell r="AN62">
            <v>2422</v>
          </cell>
          <cell r="AO62">
            <v>2405</v>
          </cell>
          <cell r="AP62">
            <v>2458</v>
          </cell>
          <cell r="AQ62">
            <v>2422</v>
          </cell>
          <cell r="AR62" t="str">
            <v>23-24日</v>
          </cell>
          <cell r="AS62" t="str">
            <v>-</v>
          </cell>
          <cell r="AT62">
            <v>12.5</v>
          </cell>
          <cell r="AU62">
            <v>13.3</v>
          </cell>
          <cell r="AV62">
            <v>12.7</v>
          </cell>
          <cell r="AW62">
            <v>12.4</v>
          </cell>
          <cell r="AX62">
            <v>12</v>
          </cell>
          <cell r="AY62">
            <v>12.3</v>
          </cell>
          <cell r="AZ62">
            <v>12.6</v>
          </cell>
          <cell r="BA62">
            <v>12.5</v>
          </cell>
          <cell r="BB62">
            <v>12.8</v>
          </cell>
          <cell r="BC62">
            <v>12.6</v>
          </cell>
          <cell r="BD62">
            <v>2274</v>
          </cell>
          <cell r="BE62">
            <v>2416</v>
          </cell>
          <cell r="BF62">
            <v>2309</v>
          </cell>
          <cell r="BG62">
            <v>2228</v>
          </cell>
          <cell r="BH62">
            <v>2175</v>
          </cell>
          <cell r="BI62">
            <v>2228</v>
          </cell>
          <cell r="BJ62">
            <v>2281</v>
          </cell>
          <cell r="BK62">
            <v>2264</v>
          </cell>
          <cell r="BL62">
            <v>2317</v>
          </cell>
          <cell r="BM62">
            <v>2281</v>
          </cell>
          <cell r="BN62" t="str">
            <v>24-25日</v>
          </cell>
          <cell r="BO62" t="str">
            <v>-</v>
          </cell>
          <cell r="BP62">
            <v>10.1</v>
          </cell>
        </row>
        <row r="63">
          <cell r="A63" t="str">
            <v>IUSF</v>
          </cell>
          <cell r="B63" t="str">
            <v>-</v>
          </cell>
          <cell r="C63" t="str">
            <v>-</v>
          </cell>
          <cell r="D63" t="str">
            <v>-</v>
          </cell>
          <cell r="E63" t="str">
            <v>-</v>
          </cell>
          <cell r="F63" t="str">
            <v>-</v>
          </cell>
          <cell r="G63" t="str">
            <v>-</v>
          </cell>
          <cell r="H63" t="str">
            <v>-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>
            <v>13.3</v>
          </cell>
          <cell r="Y63">
            <v>14.1</v>
          </cell>
          <cell r="Z63">
            <v>13.5</v>
          </cell>
          <cell r="AA63">
            <v>13.2</v>
          </cell>
          <cell r="AB63">
            <v>12.8</v>
          </cell>
          <cell r="AC63">
            <v>13.1</v>
          </cell>
          <cell r="AD63">
            <v>13.4</v>
          </cell>
          <cell r="AE63">
            <v>13.3</v>
          </cell>
          <cell r="AF63">
            <v>13.6</v>
          </cell>
          <cell r="AG63">
            <v>13.4</v>
          </cell>
          <cell r="AH63">
            <v>2415</v>
          </cell>
          <cell r="AI63">
            <v>2557</v>
          </cell>
          <cell r="AJ63">
            <v>2450</v>
          </cell>
          <cell r="AK63">
            <v>2369</v>
          </cell>
          <cell r="AL63">
            <v>2316</v>
          </cell>
          <cell r="AM63">
            <v>2369</v>
          </cell>
          <cell r="AN63">
            <v>2422</v>
          </cell>
          <cell r="AO63">
            <v>2405</v>
          </cell>
          <cell r="AP63">
            <v>2458</v>
          </cell>
          <cell r="AQ63">
            <v>2422</v>
          </cell>
          <cell r="AR63" t="str">
            <v>31-32日</v>
          </cell>
          <cell r="AS63" t="str">
            <v>-</v>
          </cell>
          <cell r="AT63">
            <v>12.5</v>
          </cell>
          <cell r="AU63">
            <v>13.3</v>
          </cell>
          <cell r="AV63">
            <v>12.7</v>
          </cell>
          <cell r="AW63">
            <v>12.4</v>
          </cell>
          <cell r="AX63">
            <v>12</v>
          </cell>
          <cell r="AY63">
            <v>12.3</v>
          </cell>
          <cell r="AZ63">
            <v>12.6</v>
          </cell>
          <cell r="BA63">
            <v>12.5</v>
          </cell>
          <cell r="BB63">
            <v>12.8</v>
          </cell>
          <cell r="BC63">
            <v>12.6</v>
          </cell>
          <cell r="BD63">
            <v>2274</v>
          </cell>
          <cell r="BE63">
            <v>2416</v>
          </cell>
          <cell r="BF63">
            <v>2309</v>
          </cell>
          <cell r="BG63">
            <v>2228</v>
          </cell>
          <cell r="BH63">
            <v>2175</v>
          </cell>
          <cell r="BI63">
            <v>2228</v>
          </cell>
          <cell r="BJ63">
            <v>2281</v>
          </cell>
          <cell r="BK63">
            <v>2264</v>
          </cell>
          <cell r="BL63">
            <v>2317</v>
          </cell>
          <cell r="BM63">
            <v>2281</v>
          </cell>
          <cell r="BN63" t="str">
            <v>32-33日</v>
          </cell>
          <cell r="BO63" t="str">
            <v>-</v>
          </cell>
          <cell r="BP63">
            <v>10.1</v>
          </cell>
        </row>
        <row r="64">
          <cell r="A64" t="str">
            <v>DFW6</v>
          </cell>
          <cell r="B64" t="str">
            <v>-</v>
          </cell>
          <cell r="C64" t="str">
            <v>-</v>
          </cell>
          <cell r="D64" t="str">
            <v>-</v>
          </cell>
          <cell r="E64" t="str">
            <v>-</v>
          </cell>
          <cell r="F64" t="str">
            <v>-</v>
          </cell>
          <cell r="G64" t="str">
            <v>-</v>
          </cell>
          <cell r="H64" t="str">
            <v>-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>
            <v>13.3</v>
          </cell>
          <cell r="Y64">
            <v>14.1</v>
          </cell>
          <cell r="Z64">
            <v>13.5</v>
          </cell>
          <cell r="AA64">
            <v>13.2</v>
          </cell>
          <cell r="AB64">
            <v>12.8</v>
          </cell>
          <cell r="AC64">
            <v>13.1</v>
          </cell>
          <cell r="AD64">
            <v>13.4</v>
          </cell>
          <cell r="AE64">
            <v>13.3</v>
          </cell>
          <cell r="AF64">
            <v>13.6</v>
          </cell>
          <cell r="AG64">
            <v>13.4</v>
          </cell>
          <cell r="AH64">
            <v>2415</v>
          </cell>
          <cell r="AI64">
            <v>2557</v>
          </cell>
          <cell r="AJ64">
            <v>2450</v>
          </cell>
          <cell r="AK64">
            <v>2369</v>
          </cell>
          <cell r="AL64">
            <v>2316</v>
          </cell>
          <cell r="AM64">
            <v>2369</v>
          </cell>
          <cell r="AN64">
            <v>2422</v>
          </cell>
          <cell r="AO64">
            <v>2405</v>
          </cell>
          <cell r="AP64">
            <v>2458</v>
          </cell>
          <cell r="AQ64">
            <v>2422</v>
          </cell>
          <cell r="AR64" t="str">
            <v>23-24日</v>
          </cell>
          <cell r="AS64" t="str">
            <v>-</v>
          </cell>
          <cell r="AT64">
            <v>12.5</v>
          </cell>
          <cell r="AU64">
            <v>13.3</v>
          </cell>
          <cell r="AV64">
            <v>12.7</v>
          </cell>
          <cell r="AW64">
            <v>12.4</v>
          </cell>
          <cell r="AX64">
            <v>12</v>
          </cell>
          <cell r="AY64">
            <v>12.3</v>
          </cell>
          <cell r="AZ64">
            <v>12.6</v>
          </cell>
          <cell r="BA64">
            <v>12.5</v>
          </cell>
          <cell r="BB64">
            <v>12.8</v>
          </cell>
          <cell r="BC64">
            <v>12.6</v>
          </cell>
          <cell r="BD64">
            <v>2274</v>
          </cell>
          <cell r="BE64">
            <v>2416</v>
          </cell>
          <cell r="BF64">
            <v>2309</v>
          </cell>
          <cell r="BG64">
            <v>2228</v>
          </cell>
          <cell r="BH64">
            <v>2175</v>
          </cell>
          <cell r="BI64">
            <v>2228</v>
          </cell>
          <cell r="BJ64">
            <v>2281</v>
          </cell>
          <cell r="BK64">
            <v>2264</v>
          </cell>
          <cell r="BL64">
            <v>2317</v>
          </cell>
          <cell r="BM64">
            <v>2281</v>
          </cell>
          <cell r="BN64" t="str">
            <v>24-25日</v>
          </cell>
          <cell r="BO64" t="str">
            <v>-</v>
          </cell>
          <cell r="BP64">
            <v>10.1</v>
          </cell>
        </row>
        <row r="65">
          <cell r="A65" t="str">
            <v>HOU8</v>
          </cell>
          <cell r="B65" t="str">
            <v>-</v>
          </cell>
          <cell r="C65" t="str">
            <v>-</v>
          </cell>
          <cell r="D65" t="str">
            <v>-</v>
          </cell>
          <cell r="E65" t="str">
            <v>-</v>
          </cell>
          <cell r="F65" t="str">
            <v>-</v>
          </cell>
          <cell r="G65" t="str">
            <v>-</v>
          </cell>
          <cell r="H65" t="str">
            <v>-</v>
          </cell>
          <cell r="I65" t="str">
            <v>-</v>
          </cell>
          <cell r="J65" t="str">
            <v>-</v>
          </cell>
          <cell r="K65" t="str">
            <v>-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  <cell r="V65" t="str">
            <v>-</v>
          </cell>
          <cell r="W65" t="str">
            <v>-</v>
          </cell>
          <cell r="X65">
            <v>13.3</v>
          </cell>
          <cell r="Y65">
            <v>14.1</v>
          </cell>
          <cell r="Z65">
            <v>13.5</v>
          </cell>
          <cell r="AA65">
            <v>13.2</v>
          </cell>
          <cell r="AB65">
            <v>12.8</v>
          </cell>
          <cell r="AC65">
            <v>13.1</v>
          </cell>
          <cell r="AD65">
            <v>13.4</v>
          </cell>
          <cell r="AE65">
            <v>13.3</v>
          </cell>
          <cell r="AF65">
            <v>13.6</v>
          </cell>
          <cell r="AG65">
            <v>13.4</v>
          </cell>
          <cell r="AH65">
            <v>2415</v>
          </cell>
          <cell r="AI65">
            <v>2557</v>
          </cell>
          <cell r="AJ65">
            <v>2450</v>
          </cell>
          <cell r="AK65">
            <v>2369</v>
          </cell>
          <cell r="AL65">
            <v>2316</v>
          </cell>
          <cell r="AM65">
            <v>2369</v>
          </cell>
          <cell r="AN65">
            <v>2422</v>
          </cell>
          <cell r="AO65">
            <v>2405</v>
          </cell>
          <cell r="AP65">
            <v>2458</v>
          </cell>
          <cell r="AQ65">
            <v>2422</v>
          </cell>
          <cell r="AR65" t="str">
            <v>23-24日</v>
          </cell>
          <cell r="AS65" t="str">
            <v>-</v>
          </cell>
          <cell r="AT65">
            <v>12.5</v>
          </cell>
          <cell r="AU65">
            <v>13.3</v>
          </cell>
          <cell r="AV65">
            <v>12.7</v>
          </cell>
          <cell r="AW65">
            <v>12.4</v>
          </cell>
          <cell r="AX65">
            <v>12</v>
          </cell>
          <cell r="AY65">
            <v>12.3</v>
          </cell>
          <cell r="AZ65">
            <v>12.6</v>
          </cell>
          <cell r="BA65">
            <v>12.5</v>
          </cell>
          <cell r="BB65">
            <v>12.8</v>
          </cell>
          <cell r="BC65">
            <v>12.6</v>
          </cell>
          <cell r="BD65">
            <v>2274</v>
          </cell>
          <cell r="BE65">
            <v>2416</v>
          </cell>
          <cell r="BF65">
            <v>2309</v>
          </cell>
          <cell r="BG65">
            <v>2228</v>
          </cell>
          <cell r="BH65">
            <v>2175</v>
          </cell>
          <cell r="BI65">
            <v>2228</v>
          </cell>
          <cell r="BJ65">
            <v>2281</v>
          </cell>
          <cell r="BK65">
            <v>2264</v>
          </cell>
          <cell r="BL65">
            <v>2317</v>
          </cell>
          <cell r="BM65">
            <v>2281</v>
          </cell>
          <cell r="BN65" t="str">
            <v>24-25日</v>
          </cell>
          <cell r="BO65" t="str">
            <v>-</v>
          </cell>
          <cell r="BP65">
            <v>10.1</v>
          </cell>
        </row>
        <row r="66">
          <cell r="A66" t="str">
            <v>IAH3</v>
          </cell>
          <cell r="B66" t="str">
            <v>-</v>
          </cell>
          <cell r="C66" t="str">
            <v>-</v>
          </cell>
          <cell r="D66" t="str">
            <v>-</v>
          </cell>
          <cell r="E66" t="str">
            <v>-</v>
          </cell>
          <cell r="F66" t="str">
            <v>-</v>
          </cell>
          <cell r="G66" t="str">
            <v>-</v>
          </cell>
          <cell r="H66" t="str">
            <v>-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>
            <v>13.3</v>
          </cell>
          <cell r="Y66">
            <v>14.1</v>
          </cell>
          <cell r="Z66">
            <v>13.5</v>
          </cell>
          <cell r="AA66">
            <v>13.2</v>
          </cell>
          <cell r="AB66">
            <v>12.8</v>
          </cell>
          <cell r="AC66">
            <v>13.1</v>
          </cell>
          <cell r="AD66">
            <v>13.4</v>
          </cell>
          <cell r="AE66">
            <v>13.3</v>
          </cell>
          <cell r="AF66">
            <v>13.6</v>
          </cell>
          <cell r="AG66">
            <v>13.4</v>
          </cell>
          <cell r="AH66">
            <v>2415</v>
          </cell>
          <cell r="AI66">
            <v>2557</v>
          </cell>
          <cell r="AJ66">
            <v>2450</v>
          </cell>
          <cell r="AK66">
            <v>2369</v>
          </cell>
          <cell r="AL66">
            <v>2316</v>
          </cell>
          <cell r="AM66">
            <v>2369</v>
          </cell>
          <cell r="AN66">
            <v>2422</v>
          </cell>
          <cell r="AO66">
            <v>2405</v>
          </cell>
          <cell r="AP66">
            <v>2458</v>
          </cell>
          <cell r="AQ66">
            <v>2422</v>
          </cell>
          <cell r="AR66" t="str">
            <v>23-24日</v>
          </cell>
          <cell r="AS66" t="str">
            <v>-</v>
          </cell>
          <cell r="AT66">
            <v>12.5</v>
          </cell>
          <cell r="AU66">
            <v>13.3</v>
          </cell>
          <cell r="AV66">
            <v>12.7</v>
          </cell>
          <cell r="AW66">
            <v>12.4</v>
          </cell>
          <cell r="AX66">
            <v>12</v>
          </cell>
          <cell r="AY66">
            <v>12.3</v>
          </cell>
          <cell r="AZ66">
            <v>12.6</v>
          </cell>
          <cell r="BA66">
            <v>12.5</v>
          </cell>
          <cell r="BB66">
            <v>12.8</v>
          </cell>
          <cell r="BC66">
            <v>12.6</v>
          </cell>
          <cell r="BD66">
            <v>2274</v>
          </cell>
          <cell r="BE66">
            <v>2416</v>
          </cell>
          <cell r="BF66">
            <v>2309</v>
          </cell>
          <cell r="BG66">
            <v>2228</v>
          </cell>
          <cell r="BH66">
            <v>2175</v>
          </cell>
          <cell r="BI66">
            <v>2228</v>
          </cell>
          <cell r="BJ66">
            <v>2281</v>
          </cell>
          <cell r="BK66">
            <v>2264</v>
          </cell>
          <cell r="BL66">
            <v>2317</v>
          </cell>
          <cell r="BM66">
            <v>2281</v>
          </cell>
          <cell r="BN66" t="str">
            <v>24-25日</v>
          </cell>
          <cell r="BO66" t="str">
            <v>-</v>
          </cell>
          <cell r="BP66">
            <v>10.1</v>
          </cell>
        </row>
        <row r="67">
          <cell r="A67" t="str">
            <v>AMA1</v>
          </cell>
          <cell r="B67" t="str">
            <v>-</v>
          </cell>
          <cell r="C67" t="str">
            <v>-</v>
          </cell>
          <cell r="D67" t="str">
            <v>-</v>
          </cell>
          <cell r="E67" t="str">
            <v>-</v>
          </cell>
          <cell r="F67" t="str">
            <v>-</v>
          </cell>
          <cell r="G67" t="str">
            <v>-</v>
          </cell>
          <cell r="H67" t="str">
            <v>-</v>
          </cell>
          <cell r="I67" t="str">
            <v>-</v>
          </cell>
          <cell r="J67" t="str">
            <v>-</v>
          </cell>
          <cell r="K67" t="str">
            <v>-</v>
          </cell>
          <cell r="L67" t="str">
            <v>-</v>
          </cell>
          <cell r="M67" t="str">
            <v>-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 t="str">
            <v>-</v>
          </cell>
          <cell r="X67">
            <v>13.3</v>
          </cell>
          <cell r="Y67">
            <v>14.1</v>
          </cell>
          <cell r="Z67">
            <v>13.5</v>
          </cell>
          <cell r="AA67">
            <v>13.2</v>
          </cell>
          <cell r="AB67">
            <v>12.8</v>
          </cell>
          <cell r="AC67">
            <v>13.1</v>
          </cell>
          <cell r="AD67">
            <v>13.4</v>
          </cell>
          <cell r="AE67">
            <v>13.3</v>
          </cell>
          <cell r="AF67">
            <v>13.6</v>
          </cell>
          <cell r="AG67">
            <v>13.4</v>
          </cell>
          <cell r="AH67">
            <v>2415</v>
          </cell>
          <cell r="AI67">
            <v>2557</v>
          </cell>
          <cell r="AJ67">
            <v>2450</v>
          </cell>
          <cell r="AK67">
            <v>2369</v>
          </cell>
          <cell r="AL67">
            <v>2316</v>
          </cell>
          <cell r="AM67">
            <v>2369</v>
          </cell>
          <cell r="AN67">
            <v>2422</v>
          </cell>
          <cell r="AO67">
            <v>2405</v>
          </cell>
          <cell r="AP67">
            <v>2458</v>
          </cell>
          <cell r="AQ67">
            <v>2422</v>
          </cell>
          <cell r="AR67" t="str">
            <v>23-24日</v>
          </cell>
          <cell r="AS67" t="str">
            <v>-</v>
          </cell>
          <cell r="AT67">
            <v>12.5</v>
          </cell>
          <cell r="AU67">
            <v>13.3</v>
          </cell>
          <cell r="AV67">
            <v>12.7</v>
          </cell>
          <cell r="AW67">
            <v>12.4</v>
          </cell>
          <cell r="AX67">
            <v>12</v>
          </cell>
          <cell r="AY67">
            <v>12.3</v>
          </cell>
          <cell r="AZ67">
            <v>12.6</v>
          </cell>
          <cell r="BA67">
            <v>12.5</v>
          </cell>
          <cell r="BB67">
            <v>12.8</v>
          </cell>
          <cell r="BC67">
            <v>12.6</v>
          </cell>
          <cell r="BD67">
            <v>2274</v>
          </cell>
          <cell r="BE67">
            <v>2416</v>
          </cell>
          <cell r="BF67">
            <v>2309</v>
          </cell>
          <cell r="BG67">
            <v>2228</v>
          </cell>
          <cell r="BH67">
            <v>2175</v>
          </cell>
          <cell r="BI67">
            <v>2228</v>
          </cell>
          <cell r="BJ67">
            <v>2281</v>
          </cell>
          <cell r="BK67">
            <v>2264</v>
          </cell>
          <cell r="BL67">
            <v>2317</v>
          </cell>
          <cell r="BM67">
            <v>2281</v>
          </cell>
          <cell r="BN67" t="str">
            <v>24-25日</v>
          </cell>
          <cell r="BO67" t="str">
            <v>-</v>
          </cell>
          <cell r="BP67">
            <v>10.1</v>
          </cell>
        </row>
        <row r="68">
          <cell r="A68" t="str">
            <v>SAT1</v>
          </cell>
          <cell r="B68" t="str">
            <v>-</v>
          </cell>
          <cell r="C68" t="str">
            <v>-</v>
          </cell>
          <cell r="D68" t="str">
            <v>-</v>
          </cell>
          <cell r="E68" t="str">
            <v>-</v>
          </cell>
          <cell r="F68" t="str">
            <v>-</v>
          </cell>
          <cell r="G68" t="str">
            <v>-</v>
          </cell>
          <cell r="H68" t="str">
            <v>-</v>
          </cell>
          <cell r="I68" t="str">
            <v>-</v>
          </cell>
          <cell r="J68" t="str">
            <v>-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>
            <v>13.3</v>
          </cell>
          <cell r="Y68">
            <v>14.1</v>
          </cell>
          <cell r="Z68">
            <v>13.5</v>
          </cell>
          <cell r="AA68">
            <v>13.2</v>
          </cell>
          <cell r="AB68">
            <v>12.8</v>
          </cell>
          <cell r="AC68">
            <v>13.1</v>
          </cell>
          <cell r="AD68">
            <v>13.4</v>
          </cell>
          <cell r="AE68">
            <v>13.3</v>
          </cell>
          <cell r="AF68">
            <v>13.6</v>
          </cell>
          <cell r="AG68">
            <v>13.4</v>
          </cell>
          <cell r="AH68">
            <v>2415</v>
          </cell>
          <cell r="AI68">
            <v>2557</v>
          </cell>
          <cell r="AJ68">
            <v>2450</v>
          </cell>
          <cell r="AK68">
            <v>2369</v>
          </cell>
          <cell r="AL68">
            <v>2316</v>
          </cell>
          <cell r="AM68">
            <v>2369</v>
          </cell>
          <cell r="AN68">
            <v>2422</v>
          </cell>
          <cell r="AO68">
            <v>2405</v>
          </cell>
          <cell r="AP68">
            <v>2458</v>
          </cell>
          <cell r="AQ68">
            <v>2422</v>
          </cell>
          <cell r="AR68" t="str">
            <v>23-24日</v>
          </cell>
          <cell r="AS68" t="str">
            <v>-</v>
          </cell>
          <cell r="AT68">
            <v>12.5</v>
          </cell>
          <cell r="AU68">
            <v>13.3</v>
          </cell>
          <cell r="AV68">
            <v>12.7</v>
          </cell>
          <cell r="AW68">
            <v>12.4</v>
          </cell>
          <cell r="AX68">
            <v>12</v>
          </cell>
          <cell r="AY68">
            <v>12.3</v>
          </cell>
          <cell r="AZ68">
            <v>12.6</v>
          </cell>
          <cell r="BA68">
            <v>12.5</v>
          </cell>
          <cell r="BB68">
            <v>12.8</v>
          </cell>
          <cell r="BC68">
            <v>12.6</v>
          </cell>
          <cell r="BD68">
            <v>2274</v>
          </cell>
          <cell r="BE68">
            <v>2416</v>
          </cell>
          <cell r="BF68">
            <v>2309</v>
          </cell>
          <cell r="BG68">
            <v>2228</v>
          </cell>
          <cell r="BH68">
            <v>2175</v>
          </cell>
          <cell r="BI68">
            <v>2228</v>
          </cell>
          <cell r="BJ68">
            <v>2281</v>
          </cell>
          <cell r="BK68">
            <v>2264</v>
          </cell>
          <cell r="BL68">
            <v>2317</v>
          </cell>
          <cell r="BM68">
            <v>2281</v>
          </cell>
          <cell r="BN68" t="str">
            <v>24-25日</v>
          </cell>
          <cell r="BO68" t="str">
            <v>-</v>
          </cell>
          <cell r="BP68">
            <v>10.1</v>
          </cell>
        </row>
        <row r="69">
          <cell r="A69" t="str">
            <v>SAT4</v>
          </cell>
          <cell r="B69" t="str">
            <v>-</v>
          </cell>
          <cell r="C69" t="str">
            <v>-</v>
          </cell>
          <cell r="D69" t="str">
            <v>-</v>
          </cell>
          <cell r="E69" t="str">
            <v>-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>
            <v>13.3</v>
          </cell>
          <cell r="Y69">
            <v>14.1</v>
          </cell>
          <cell r="Z69">
            <v>13.5</v>
          </cell>
          <cell r="AA69">
            <v>13.2</v>
          </cell>
          <cell r="AB69">
            <v>12.8</v>
          </cell>
          <cell r="AC69">
            <v>13.1</v>
          </cell>
          <cell r="AD69">
            <v>13.4</v>
          </cell>
          <cell r="AE69">
            <v>13.3</v>
          </cell>
          <cell r="AF69">
            <v>13.6</v>
          </cell>
          <cell r="AG69">
            <v>13.4</v>
          </cell>
          <cell r="AH69">
            <v>2415</v>
          </cell>
          <cell r="AI69">
            <v>2557</v>
          </cell>
          <cell r="AJ69">
            <v>2450</v>
          </cell>
          <cell r="AK69">
            <v>2369</v>
          </cell>
          <cell r="AL69">
            <v>2316</v>
          </cell>
          <cell r="AM69">
            <v>2369</v>
          </cell>
          <cell r="AN69">
            <v>2422</v>
          </cell>
          <cell r="AO69">
            <v>2405</v>
          </cell>
          <cell r="AP69">
            <v>2458</v>
          </cell>
          <cell r="AQ69">
            <v>2422</v>
          </cell>
          <cell r="AR69" t="str">
            <v>23-24日</v>
          </cell>
          <cell r="AS69" t="str">
            <v>-</v>
          </cell>
          <cell r="AT69">
            <v>12.5</v>
          </cell>
          <cell r="AU69">
            <v>13.3</v>
          </cell>
          <cell r="AV69">
            <v>12.7</v>
          </cell>
          <cell r="AW69">
            <v>12.4</v>
          </cell>
          <cell r="AX69">
            <v>12</v>
          </cell>
          <cell r="AY69">
            <v>12.3</v>
          </cell>
          <cell r="AZ69">
            <v>12.6</v>
          </cell>
          <cell r="BA69">
            <v>12.5</v>
          </cell>
          <cell r="BB69">
            <v>12.8</v>
          </cell>
          <cell r="BC69">
            <v>12.6</v>
          </cell>
          <cell r="BD69">
            <v>2274</v>
          </cell>
          <cell r="BE69">
            <v>2416</v>
          </cell>
          <cell r="BF69">
            <v>2309</v>
          </cell>
          <cell r="BG69">
            <v>2228</v>
          </cell>
          <cell r="BH69">
            <v>2175</v>
          </cell>
          <cell r="BI69">
            <v>2228</v>
          </cell>
          <cell r="BJ69">
            <v>2281</v>
          </cell>
          <cell r="BK69">
            <v>2264</v>
          </cell>
          <cell r="BL69">
            <v>2317</v>
          </cell>
          <cell r="BM69">
            <v>2281</v>
          </cell>
          <cell r="BN69" t="str">
            <v>24-25日</v>
          </cell>
          <cell r="BO69" t="str">
            <v>-</v>
          </cell>
          <cell r="BP69">
            <v>10.1</v>
          </cell>
        </row>
        <row r="70">
          <cell r="A70" t="str">
            <v>FTW2</v>
          </cell>
          <cell r="B70" t="str">
            <v>-</v>
          </cell>
          <cell r="C70" t="str">
            <v>-</v>
          </cell>
          <cell r="D70" t="str">
            <v>-</v>
          </cell>
          <cell r="E70" t="str">
            <v>-</v>
          </cell>
          <cell r="F70" t="str">
            <v>-</v>
          </cell>
          <cell r="G70" t="str">
            <v>-</v>
          </cell>
          <cell r="H70" t="str">
            <v>-</v>
          </cell>
          <cell r="I70" t="str">
            <v>-</v>
          </cell>
          <cell r="J70" t="str">
            <v>-</v>
          </cell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>
            <v>13.4</v>
          </cell>
          <cell r="Y70">
            <v>14.2</v>
          </cell>
          <cell r="Z70">
            <v>13.6</v>
          </cell>
          <cell r="AA70">
            <v>13.3</v>
          </cell>
          <cell r="AB70">
            <v>12.9</v>
          </cell>
          <cell r="AC70">
            <v>13.2</v>
          </cell>
          <cell r="AD70">
            <v>13.5</v>
          </cell>
          <cell r="AE70">
            <v>13.4</v>
          </cell>
          <cell r="AF70">
            <v>13.7</v>
          </cell>
          <cell r="AG70">
            <v>13.5</v>
          </cell>
          <cell r="AH70">
            <v>2466</v>
          </cell>
          <cell r="AI70">
            <v>2608</v>
          </cell>
          <cell r="AJ70">
            <v>2501</v>
          </cell>
          <cell r="AK70">
            <v>2420</v>
          </cell>
          <cell r="AL70">
            <v>2367</v>
          </cell>
          <cell r="AM70">
            <v>2420</v>
          </cell>
          <cell r="AN70">
            <v>2473</v>
          </cell>
          <cell r="AO70">
            <v>2456</v>
          </cell>
          <cell r="AP70">
            <v>2509</v>
          </cell>
          <cell r="AQ70">
            <v>2473</v>
          </cell>
          <cell r="AR70" t="str">
            <v>23-24日</v>
          </cell>
          <cell r="AS70" t="str">
            <v>-</v>
          </cell>
          <cell r="AT70">
            <v>12.6</v>
          </cell>
          <cell r="AU70">
            <v>13.4</v>
          </cell>
          <cell r="AV70">
            <v>12.8</v>
          </cell>
          <cell r="AW70">
            <v>12.5</v>
          </cell>
          <cell r="AX70">
            <v>12.1</v>
          </cell>
          <cell r="AY70">
            <v>12.4</v>
          </cell>
          <cell r="AZ70">
            <v>12.7</v>
          </cell>
          <cell r="BA70">
            <v>12.6</v>
          </cell>
          <cell r="BB70">
            <v>12.9</v>
          </cell>
          <cell r="BC70">
            <v>12.7</v>
          </cell>
          <cell r="BD70">
            <v>2325</v>
          </cell>
          <cell r="BE70">
            <v>2467</v>
          </cell>
          <cell r="BF70">
            <v>2360</v>
          </cell>
          <cell r="BG70">
            <v>2279</v>
          </cell>
          <cell r="BH70">
            <v>2226</v>
          </cell>
          <cell r="BI70">
            <v>2279</v>
          </cell>
          <cell r="BJ70">
            <v>2332</v>
          </cell>
          <cell r="BK70">
            <v>2315</v>
          </cell>
          <cell r="BL70">
            <v>2368</v>
          </cell>
          <cell r="BM70">
            <v>2332</v>
          </cell>
          <cell r="BN70" t="str">
            <v>24-25日</v>
          </cell>
          <cell r="BO70" t="str">
            <v>-</v>
          </cell>
          <cell r="BP70">
            <v>10.2</v>
          </cell>
        </row>
        <row r="71">
          <cell r="A71" t="str">
            <v>FTW5</v>
          </cell>
          <cell r="B71" t="str">
            <v>-</v>
          </cell>
          <cell r="C71" t="str">
            <v>-</v>
          </cell>
          <cell r="D71" t="str">
            <v>-</v>
          </cell>
          <cell r="E71" t="str">
            <v>-</v>
          </cell>
          <cell r="F71" t="str">
            <v>-</v>
          </cell>
          <cell r="G71" t="str">
            <v>-</v>
          </cell>
          <cell r="H71" t="str">
            <v>-</v>
          </cell>
          <cell r="I71" t="str">
            <v>-</v>
          </cell>
          <cell r="J71" t="str">
            <v>-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>
            <v>13.4</v>
          </cell>
          <cell r="Y71">
            <v>14.2</v>
          </cell>
          <cell r="Z71">
            <v>13.6</v>
          </cell>
          <cell r="AA71">
            <v>13.3</v>
          </cell>
          <cell r="AB71">
            <v>12.9</v>
          </cell>
          <cell r="AC71">
            <v>13.2</v>
          </cell>
          <cell r="AD71">
            <v>13.5</v>
          </cell>
          <cell r="AE71">
            <v>13.4</v>
          </cell>
          <cell r="AF71">
            <v>13.7</v>
          </cell>
          <cell r="AG71">
            <v>13.5</v>
          </cell>
          <cell r="AH71">
            <v>2466</v>
          </cell>
          <cell r="AI71">
            <v>2608</v>
          </cell>
          <cell r="AJ71">
            <v>2501</v>
          </cell>
          <cell r="AK71">
            <v>2420</v>
          </cell>
          <cell r="AL71">
            <v>2367</v>
          </cell>
          <cell r="AM71">
            <v>2420</v>
          </cell>
          <cell r="AN71">
            <v>2473</v>
          </cell>
          <cell r="AO71">
            <v>2456</v>
          </cell>
          <cell r="AP71">
            <v>2509</v>
          </cell>
          <cell r="AQ71">
            <v>2473</v>
          </cell>
          <cell r="AR71" t="str">
            <v>23-24日</v>
          </cell>
          <cell r="AS71" t="str">
            <v>-</v>
          </cell>
          <cell r="AT71">
            <v>12.6</v>
          </cell>
          <cell r="AU71">
            <v>13.4</v>
          </cell>
          <cell r="AV71">
            <v>12.8</v>
          </cell>
          <cell r="AW71">
            <v>12.5</v>
          </cell>
          <cell r="AX71">
            <v>12.1</v>
          </cell>
          <cell r="AY71">
            <v>12.4</v>
          </cell>
          <cell r="AZ71">
            <v>12.7</v>
          </cell>
          <cell r="BA71">
            <v>12.6</v>
          </cell>
          <cell r="BB71">
            <v>12.9</v>
          </cell>
          <cell r="BC71">
            <v>12.7</v>
          </cell>
          <cell r="BD71">
            <v>2325</v>
          </cell>
          <cell r="BE71">
            <v>2467</v>
          </cell>
          <cell r="BF71">
            <v>2360</v>
          </cell>
          <cell r="BG71">
            <v>2279</v>
          </cell>
          <cell r="BH71">
            <v>2226</v>
          </cell>
          <cell r="BI71">
            <v>2279</v>
          </cell>
          <cell r="BJ71">
            <v>2332</v>
          </cell>
          <cell r="BK71">
            <v>2315</v>
          </cell>
          <cell r="BL71">
            <v>2368</v>
          </cell>
          <cell r="BM71">
            <v>2332</v>
          </cell>
          <cell r="BN71" t="str">
            <v>24-25日</v>
          </cell>
          <cell r="BO71" t="str">
            <v>-</v>
          </cell>
          <cell r="BP71">
            <v>10.2</v>
          </cell>
        </row>
        <row r="72">
          <cell r="A72" t="str">
            <v>FOE1</v>
          </cell>
          <cell r="B72" t="str">
            <v>-</v>
          </cell>
          <cell r="C72" t="str">
            <v>-</v>
          </cell>
          <cell r="D72" t="str">
            <v>-</v>
          </cell>
          <cell r="E72" t="str">
            <v>-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>
            <v>13.4</v>
          </cell>
          <cell r="Y72">
            <v>14.2</v>
          </cell>
          <cell r="Z72">
            <v>13.6</v>
          </cell>
          <cell r="AA72">
            <v>13.3</v>
          </cell>
          <cell r="AB72">
            <v>12.9</v>
          </cell>
          <cell r="AC72">
            <v>13.2</v>
          </cell>
          <cell r="AD72">
            <v>13.5</v>
          </cell>
          <cell r="AE72">
            <v>13.4</v>
          </cell>
          <cell r="AF72">
            <v>13.7</v>
          </cell>
          <cell r="AG72">
            <v>13.5</v>
          </cell>
          <cell r="AH72">
            <v>2466</v>
          </cell>
          <cell r="AI72">
            <v>2608</v>
          </cell>
          <cell r="AJ72">
            <v>2501</v>
          </cell>
          <cell r="AK72">
            <v>2420</v>
          </cell>
          <cell r="AL72">
            <v>2367</v>
          </cell>
          <cell r="AM72">
            <v>2420</v>
          </cell>
          <cell r="AN72">
            <v>2473</v>
          </cell>
          <cell r="AO72">
            <v>2456</v>
          </cell>
          <cell r="AP72">
            <v>2509</v>
          </cell>
          <cell r="AQ72">
            <v>2473</v>
          </cell>
          <cell r="AR72" t="str">
            <v>23-24日</v>
          </cell>
          <cell r="AS72" t="str">
            <v>-</v>
          </cell>
          <cell r="AT72">
            <v>12.6</v>
          </cell>
          <cell r="AU72">
            <v>13.4</v>
          </cell>
          <cell r="AV72">
            <v>12.8</v>
          </cell>
          <cell r="AW72">
            <v>12.5</v>
          </cell>
          <cell r="AX72">
            <v>12.1</v>
          </cell>
          <cell r="AY72">
            <v>12.4</v>
          </cell>
          <cell r="AZ72">
            <v>12.7</v>
          </cell>
          <cell r="BA72">
            <v>12.6</v>
          </cell>
          <cell r="BB72">
            <v>12.9</v>
          </cell>
          <cell r="BC72">
            <v>12.7</v>
          </cell>
          <cell r="BD72">
            <v>2325</v>
          </cell>
          <cell r="BE72">
            <v>2467</v>
          </cell>
          <cell r="BF72">
            <v>2360</v>
          </cell>
          <cell r="BG72">
            <v>2279</v>
          </cell>
          <cell r="BH72">
            <v>2226</v>
          </cell>
          <cell r="BI72">
            <v>2279</v>
          </cell>
          <cell r="BJ72">
            <v>2332</v>
          </cell>
          <cell r="BK72">
            <v>2315</v>
          </cell>
          <cell r="BL72">
            <v>2368</v>
          </cell>
          <cell r="BM72">
            <v>2332</v>
          </cell>
          <cell r="BN72" t="str">
            <v>24-25日</v>
          </cell>
          <cell r="BO72" t="str">
            <v>-</v>
          </cell>
          <cell r="BP72">
            <v>10.2</v>
          </cell>
        </row>
        <row r="73">
          <cell r="A73" t="str">
            <v>ICT2</v>
          </cell>
          <cell r="B73" t="str">
            <v>-</v>
          </cell>
          <cell r="C73" t="str">
            <v>-</v>
          </cell>
          <cell r="D73" t="str">
            <v>-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  <cell r="J73" t="str">
            <v>-</v>
          </cell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>
            <v>13.4</v>
          </cell>
          <cell r="Y73">
            <v>14.2</v>
          </cell>
          <cell r="Z73">
            <v>13.6</v>
          </cell>
          <cell r="AA73">
            <v>13.3</v>
          </cell>
          <cell r="AB73">
            <v>12.9</v>
          </cell>
          <cell r="AC73">
            <v>13.2</v>
          </cell>
          <cell r="AD73">
            <v>13.5</v>
          </cell>
          <cell r="AE73">
            <v>13.4</v>
          </cell>
          <cell r="AF73">
            <v>13.7</v>
          </cell>
          <cell r="AG73">
            <v>13.5</v>
          </cell>
          <cell r="AH73">
            <v>2466</v>
          </cell>
          <cell r="AI73">
            <v>2608</v>
          </cell>
          <cell r="AJ73">
            <v>2501</v>
          </cell>
          <cell r="AK73">
            <v>2420</v>
          </cell>
          <cell r="AL73">
            <v>2367</v>
          </cell>
          <cell r="AM73">
            <v>2420</v>
          </cell>
          <cell r="AN73">
            <v>2473</v>
          </cell>
          <cell r="AO73">
            <v>2456</v>
          </cell>
          <cell r="AP73">
            <v>2509</v>
          </cell>
          <cell r="AQ73">
            <v>2473</v>
          </cell>
          <cell r="AR73" t="str">
            <v>23-24日</v>
          </cell>
          <cell r="AS73" t="str">
            <v>-</v>
          </cell>
          <cell r="AT73">
            <v>12.6</v>
          </cell>
          <cell r="AU73">
            <v>13.4</v>
          </cell>
          <cell r="AV73">
            <v>12.8</v>
          </cell>
          <cell r="AW73">
            <v>12.5</v>
          </cell>
          <cell r="AX73">
            <v>12.1</v>
          </cell>
          <cell r="AY73">
            <v>12.4</v>
          </cell>
          <cell r="AZ73">
            <v>12.7</v>
          </cell>
          <cell r="BA73">
            <v>12.6</v>
          </cell>
          <cell r="BB73">
            <v>12.9</v>
          </cell>
          <cell r="BC73">
            <v>12.7</v>
          </cell>
          <cell r="BD73">
            <v>2325</v>
          </cell>
          <cell r="BE73">
            <v>2467</v>
          </cell>
          <cell r="BF73">
            <v>2360</v>
          </cell>
          <cell r="BG73">
            <v>2279</v>
          </cell>
          <cell r="BH73">
            <v>2226</v>
          </cell>
          <cell r="BI73">
            <v>2279</v>
          </cell>
          <cell r="BJ73">
            <v>2332</v>
          </cell>
          <cell r="BK73">
            <v>2315</v>
          </cell>
          <cell r="BL73">
            <v>2368</v>
          </cell>
          <cell r="BM73">
            <v>2332</v>
          </cell>
          <cell r="BN73" t="str">
            <v>24-25日</v>
          </cell>
          <cell r="BO73" t="str">
            <v>-</v>
          </cell>
          <cell r="BP73">
            <v>10.2</v>
          </cell>
        </row>
        <row r="74">
          <cell r="A74" t="str">
            <v>MKC4</v>
          </cell>
          <cell r="B74" t="str">
            <v>-</v>
          </cell>
          <cell r="C74" t="str">
            <v>-</v>
          </cell>
          <cell r="D74" t="str">
            <v>-</v>
          </cell>
          <cell r="E74" t="str">
            <v>-</v>
          </cell>
          <cell r="F74" t="str">
            <v>-</v>
          </cell>
          <cell r="G74" t="str">
            <v>-</v>
          </cell>
          <cell r="H74" t="str">
            <v>-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-</v>
          </cell>
          <cell r="Q74" t="str">
            <v>-</v>
          </cell>
          <cell r="R74" t="str">
            <v>-</v>
          </cell>
          <cell r="S74" t="str">
            <v>-</v>
          </cell>
          <cell r="T74" t="str">
            <v>-</v>
          </cell>
          <cell r="U74" t="str">
            <v>-</v>
          </cell>
          <cell r="V74" t="str">
            <v>-</v>
          </cell>
          <cell r="W74" t="str">
            <v>-</v>
          </cell>
          <cell r="X74">
            <v>13.4</v>
          </cell>
          <cell r="Y74">
            <v>14.2</v>
          </cell>
          <cell r="Z74">
            <v>13.6</v>
          </cell>
          <cell r="AA74">
            <v>13.3</v>
          </cell>
          <cell r="AB74">
            <v>12.9</v>
          </cell>
          <cell r="AC74">
            <v>13.2</v>
          </cell>
          <cell r="AD74">
            <v>13.5</v>
          </cell>
          <cell r="AE74">
            <v>13.4</v>
          </cell>
          <cell r="AF74">
            <v>13.7</v>
          </cell>
          <cell r="AG74">
            <v>13.5</v>
          </cell>
          <cell r="AH74">
            <v>2466</v>
          </cell>
          <cell r="AI74">
            <v>2608</v>
          </cell>
          <cell r="AJ74">
            <v>2501</v>
          </cell>
          <cell r="AK74">
            <v>2420</v>
          </cell>
          <cell r="AL74">
            <v>2367</v>
          </cell>
          <cell r="AM74">
            <v>2420</v>
          </cell>
          <cell r="AN74">
            <v>2473</v>
          </cell>
          <cell r="AO74">
            <v>2456</v>
          </cell>
          <cell r="AP74">
            <v>2509</v>
          </cell>
          <cell r="AQ74">
            <v>2473</v>
          </cell>
          <cell r="AR74" t="str">
            <v>23-24日</v>
          </cell>
          <cell r="AS74" t="str">
            <v>-</v>
          </cell>
          <cell r="AT74">
            <v>12.6</v>
          </cell>
          <cell r="AU74">
            <v>13.4</v>
          </cell>
          <cell r="AV74">
            <v>12.8</v>
          </cell>
          <cell r="AW74">
            <v>12.5</v>
          </cell>
          <cell r="AX74">
            <v>12.1</v>
          </cell>
          <cell r="AY74">
            <v>12.4</v>
          </cell>
          <cell r="AZ74">
            <v>12.7</v>
          </cell>
          <cell r="BA74">
            <v>12.6</v>
          </cell>
          <cell r="BB74">
            <v>12.9</v>
          </cell>
          <cell r="BC74">
            <v>12.7</v>
          </cell>
          <cell r="BD74">
            <v>2325</v>
          </cell>
          <cell r="BE74">
            <v>2467</v>
          </cell>
          <cell r="BF74">
            <v>2360</v>
          </cell>
          <cell r="BG74">
            <v>2279</v>
          </cell>
          <cell r="BH74">
            <v>2226</v>
          </cell>
          <cell r="BI74">
            <v>2279</v>
          </cell>
          <cell r="BJ74">
            <v>2332</v>
          </cell>
          <cell r="BK74">
            <v>2315</v>
          </cell>
          <cell r="BL74">
            <v>2368</v>
          </cell>
          <cell r="BM74">
            <v>2332</v>
          </cell>
          <cell r="BN74" t="str">
            <v>24-25日</v>
          </cell>
          <cell r="BO74" t="str">
            <v>-</v>
          </cell>
          <cell r="BP74">
            <v>10.2</v>
          </cell>
        </row>
        <row r="75">
          <cell r="A75" t="str">
            <v>LIT2</v>
          </cell>
          <cell r="B75" t="str">
            <v>-</v>
          </cell>
          <cell r="C75" t="str">
            <v>-</v>
          </cell>
          <cell r="D75" t="str">
            <v>-</v>
          </cell>
          <cell r="E75" t="str">
            <v>-</v>
          </cell>
          <cell r="F75" t="str">
            <v>-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>
            <v>13.4</v>
          </cell>
          <cell r="Y75">
            <v>14.2</v>
          </cell>
          <cell r="Z75">
            <v>13.6</v>
          </cell>
          <cell r="AA75">
            <v>13.3</v>
          </cell>
          <cell r="AB75">
            <v>12.9</v>
          </cell>
          <cell r="AC75">
            <v>13.2</v>
          </cell>
          <cell r="AD75">
            <v>13.5</v>
          </cell>
          <cell r="AE75">
            <v>13.4</v>
          </cell>
          <cell r="AF75">
            <v>13.7</v>
          </cell>
          <cell r="AG75">
            <v>13.5</v>
          </cell>
          <cell r="AH75">
            <v>2466</v>
          </cell>
          <cell r="AI75">
            <v>2608</v>
          </cell>
          <cell r="AJ75">
            <v>2501</v>
          </cell>
          <cell r="AK75">
            <v>2420</v>
          </cell>
          <cell r="AL75">
            <v>2367</v>
          </cell>
          <cell r="AM75">
            <v>2420</v>
          </cell>
          <cell r="AN75">
            <v>2473</v>
          </cell>
          <cell r="AO75">
            <v>2456</v>
          </cell>
          <cell r="AP75">
            <v>2509</v>
          </cell>
          <cell r="AQ75">
            <v>2473</v>
          </cell>
          <cell r="AR75" t="str">
            <v>23-24日</v>
          </cell>
          <cell r="AS75" t="str">
            <v>-</v>
          </cell>
          <cell r="AT75">
            <v>12.6</v>
          </cell>
          <cell r="AU75">
            <v>13.4</v>
          </cell>
          <cell r="AV75">
            <v>12.8</v>
          </cell>
          <cell r="AW75">
            <v>12.5</v>
          </cell>
          <cell r="AX75">
            <v>12.1</v>
          </cell>
          <cell r="AY75">
            <v>12.4</v>
          </cell>
          <cell r="AZ75">
            <v>12.7</v>
          </cell>
          <cell r="BA75">
            <v>12.6</v>
          </cell>
          <cell r="BB75">
            <v>12.9</v>
          </cell>
          <cell r="BC75">
            <v>12.7</v>
          </cell>
          <cell r="BD75">
            <v>2325</v>
          </cell>
          <cell r="BE75">
            <v>2467</v>
          </cell>
          <cell r="BF75">
            <v>2360</v>
          </cell>
          <cell r="BG75">
            <v>2279</v>
          </cell>
          <cell r="BH75">
            <v>2226</v>
          </cell>
          <cell r="BI75">
            <v>2279</v>
          </cell>
          <cell r="BJ75">
            <v>2332</v>
          </cell>
          <cell r="BK75">
            <v>2315</v>
          </cell>
          <cell r="BL75">
            <v>2368</v>
          </cell>
          <cell r="BM75">
            <v>2332</v>
          </cell>
          <cell r="BN75" t="str">
            <v>24-25日</v>
          </cell>
          <cell r="BO75" t="str">
            <v>-</v>
          </cell>
          <cell r="BP75">
            <v>10.2</v>
          </cell>
        </row>
        <row r="76">
          <cell r="A76" t="str">
            <v>LFT1</v>
          </cell>
          <cell r="B76" t="str">
            <v>-</v>
          </cell>
          <cell r="C76" t="str">
            <v>-</v>
          </cell>
          <cell r="D76" t="str">
            <v>-</v>
          </cell>
          <cell r="E76" t="str">
            <v>-</v>
          </cell>
          <cell r="F76" t="str">
            <v>-</v>
          </cell>
          <cell r="G76" t="str">
            <v>-</v>
          </cell>
          <cell r="H76" t="str">
            <v>-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>
            <v>13.4</v>
          </cell>
          <cell r="Y76">
            <v>14.2</v>
          </cell>
          <cell r="Z76">
            <v>13.6</v>
          </cell>
          <cell r="AA76">
            <v>13.3</v>
          </cell>
          <cell r="AB76">
            <v>12.9</v>
          </cell>
          <cell r="AC76">
            <v>13.2</v>
          </cell>
          <cell r="AD76">
            <v>13.5</v>
          </cell>
          <cell r="AE76">
            <v>13.4</v>
          </cell>
          <cell r="AF76">
            <v>13.7</v>
          </cell>
          <cell r="AG76">
            <v>13.5</v>
          </cell>
          <cell r="AH76">
            <v>2466</v>
          </cell>
          <cell r="AI76">
            <v>2608</v>
          </cell>
          <cell r="AJ76">
            <v>2501</v>
          </cell>
          <cell r="AK76">
            <v>2420</v>
          </cell>
          <cell r="AL76">
            <v>2367</v>
          </cell>
          <cell r="AM76">
            <v>2420</v>
          </cell>
          <cell r="AN76">
            <v>2473</v>
          </cell>
          <cell r="AO76">
            <v>2456</v>
          </cell>
          <cell r="AP76">
            <v>2509</v>
          </cell>
          <cell r="AQ76">
            <v>2473</v>
          </cell>
          <cell r="AR76" t="str">
            <v>23-24日</v>
          </cell>
          <cell r="AS76" t="str">
            <v>-</v>
          </cell>
          <cell r="AT76">
            <v>12.6</v>
          </cell>
          <cell r="AU76">
            <v>13.4</v>
          </cell>
          <cell r="AV76">
            <v>12.8</v>
          </cell>
          <cell r="AW76">
            <v>12.5</v>
          </cell>
          <cell r="AX76">
            <v>12.1</v>
          </cell>
          <cell r="AY76">
            <v>12.4</v>
          </cell>
          <cell r="AZ76">
            <v>12.7</v>
          </cell>
          <cell r="BA76">
            <v>12.6</v>
          </cell>
          <cell r="BB76">
            <v>12.9</v>
          </cell>
          <cell r="BC76">
            <v>12.7</v>
          </cell>
          <cell r="BD76">
            <v>2325</v>
          </cell>
          <cell r="BE76">
            <v>2467</v>
          </cell>
          <cell r="BF76">
            <v>2360</v>
          </cell>
          <cell r="BG76">
            <v>2279</v>
          </cell>
          <cell r="BH76">
            <v>2226</v>
          </cell>
          <cell r="BI76">
            <v>2279</v>
          </cell>
          <cell r="BJ76">
            <v>2332</v>
          </cell>
          <cell r="BK76">
            <v>2315</v>
          </cell>
          <cell r="BL76">
            <v>2368</v>
          </cell>
          <cell r="BM76">
            <v>2332</v>
          </cell>
          <cell r="BN76" t="str">
            <v>24-25日</v>
          </cell>
          <cell r="BO76" t="str">
            <v>-</v>
          </cell>
          <cell r="BP76">
            <v>10.2</v>
          </cell>
        </row>
        <row r="77">
          <cell r="A77" t="str">
            <v>MEM1</v>
          </cell>
          <cell r="B77" t="str">
            <v>-</v>
          </cell>
          <cell r="C77" t="str">
            <v>-</v>
          </cell>
          <cell r="D77" t="str">
            <v>-</v>
          </cell>
          <cell r="E77" t="str">
            <v>-</v>
          </cell>
          <cell r="F77" t="str">
            <v>-</v>
          </cell>
          <cell r="G77" t="str">
            <v>-</v>
          </cell>
          <cell r="H77" t="str">
            <v>-</v>
          </cell>
          <cell r="I77" t="str">
            <v>-</v>
          </cell>
          <cell r="J77" t="str">
            <v>-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>
            <v>13.6</v>
          </cell>
          <cell r="Y77">
            <v>14.4</v>
          </cell>
          <cell r="Z77">
            <v>13.8</v>
          </cell>
          <cell r="AA77">
            <v>13.5</v>
          </cell>
          <cell r="AB77">
            <v>13.1</v>
          </cell>
          <cell r="AC77">
            <v>13.4</v>
          </cell>
          <cell r="AD77">
            <v>13.7</v>
          </cell>
          <cell r="AE77">
            <v>13.6</v>
          </cell>
          <cell r="AF77">
            <v>13.9</v>
          </cell>
          <cell r="AG77">
            <v>13.7</v>
          </cell>
          <cell r="AH77">
            <v>2487</v>
          </cell>
          <cell r="AI77">
            <v>2629</v>
          </cell>
          <cell r="AJ77">
            <v>2522</v>
          </cell>
          <cell r="AK77">
            <v>2441</v>
          </cell>
          <cell r="AL77">
            <v>2388</v>
          </cell>
          <cell r="AM77">
            <v>2441</v>
          </cell>
          <cell r="AN77">
            <v>2494</v>
          </cell>
          <cell r="AO77">
            <v>2477</v>
          </cell>
          <cell r="AP77">
            <v>2530</v>
          </cell>
          <cell r="AQ77">
            <v>2494</v>
          </cell>
          <cell r="AR77" t="str">
            <v>23-27日</v>
          </cell>
          <cell r="AS77" t="str">
            <v>-</v>
          </cell>
          <cell r="AT77">
            <v>12.8</v>
          </cell>
          <cell r="AU77">
            <v>13.6</v>
          </cell>
          <cell r="AV77">
            <v>13</v>
          </cell>
          <cell r="AW77">
            <v>12.7</v>
          </cell>
          <cell r="AX77">
            <v>12.3</v>
          </cell>
          <cell r="AY77">
            <v>12.6</v>
          </cell>
          <cell r="AZ77">
            <v>12.9</v>
          </cell>
          <cell r="BA77">
            <v>12.8</v>
          </cell>
          <cell r="BB77">
            <v>13.1</v>
          </cell>
          <cell r="BC77">
            <v>12.9</v>
          </cell>
          <cell r="BD77">
            <v>2346</v>
          </cell>
          <cell r="BE77">
            <v>2488</v>
          </cell>
          <cell r="BF77">
            <v>2381</v>
          </cell>
          <cell r="BG77">
            <v>2300</v>
          </cell>
          <cell r="BH77">
            <v>2247</v>
          </cell>
          <cell r="BI77">
            <v>2300</v>
          </cell>
          <cell r="BJ77">
            <v>2353</v>
          </cell>
          <cell r="BK77">
            <v>2336</v>
          </cell>
          <cell r="BL77">
            <v>2389</v>
          </cell>
          <cell r="BM77">
            <v>2353</v>
          </cell>
          <cell r="BN77" t="str">
            <v>24-28日</v>
          </cell>
          <cell r="BO77" t="str">
            <v>-</v>
          </cell>
          <cell r="BP77">
            <v>10.4</v>
          </cell>
        </row>
        <row r="78">
          <cell r="A78" t="str">
            <v>TOL3</v>
          </cell>
          <cell r="B78" t="str">
            <v>-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  <cell r="I78" t="str">
            <v>-</v>
          </cell>
          <cell r="J78" t="str">
            <v>-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>
            <v>13.6</v>
          </cell>
          <cell r="Y78">
            <v>14.4</v>
          </cell>
          <cell r="Z78">
            <v>13.8</v>
          </cell>
          <cell r="AA78">
            <v>13.5</v>
          </cell>
          <cell r="AB78">
            <v>13.1</v>
          </cell>
          <cell r="AC78">
            <v>13.4</v>
          </cell>
          <cell r="AD78">
            <v>13.7</v>
          </cell>
          <cell r="AE78">
            <v>13.6</v>
          </cell>
          <cell r="AF78">
            <v>13.9</v>
          </cell>
          <cell r="AG78">
            <v>13.7</v>
          </cell>
          <cell r="AH78">
            <v>2487</v>
          </cell>
          <cell r="AI78">
            <v>2629</v>
          </cell>
          <cell r="AJ78">
            <v>2522</v>
          </cell>
          <cell r="AK78">
            <v>2441</v>
          </cell>
          <cell r="AL78">
            <v>2388</v>
          </cell>
          <cell r="AM78">
            <v>2441</v>
          </cell>
          <cell r="AN78">
            <v>2494</v>
          </cell>
          <cell r="AO78">
            <v>2477</v>
          </cell>
          <cell r="AP78">
            <v>2530</v>
          </cell>
          <cell r="AQ78">
            <v>2494</v>
          </cell>
          <cell r="AR78" t="str">
            <v>23-27日</v>
          </cell>
          <cell r="AS78" t="str">
            <v>-</v>
          </cell>
          <cell r="AT78">
            <v>12.8</v>
          </cell>
          <cell r="AU78">
            <v>13.6</v>
          </cell>
          <cell r="AV78">
            <v>13</v>
          </cell>
          <cell r="AW78">
            <v>12.7</v>
          </cell>
          <cell r="AX78">
            <v>12.3</v>
          </cell>
          <cell r="AY78">
            <v>12.6</v>
          </cell>
          <cell r="AZ78">
            <v>12.9</v>
          </cell>
          <cell r="BA78">
            <v>12.8</v>
          </cell>
          <cell r="BB78">
            <v>13.1</v>
          </cell>
          <cell r="BC78">
            <v>12.9</v>
          </cell>
          <cell r="BD78">
            <v>2346</v>
          </cell>
          <cell r="BE78">
            <v>2488</v>
          </cell>
          <cell r="BF78">
            <v>2381</v>
          </cell>
          <cell r="BG78">
            <v>2300</v>
          </cell>
          <cell r="BH78">
            <v>2247</v>
          </cell>
          <cell r="BI78">
            <v>2300</v>
          </cell>
          <cell r="BJ78">
            <v>2353</v>
          </cell>
          <cell r="BK78">
            <v>2336</v>
          </cell>
          <cell r="BL78">
            <v>2389</v>
          </cell>
          <cell r="BM78">
            <v>2353</v>
          </cell>
          <cell r="BN78" t="str">
            <v>24-28日</v>
          </cell>
          <cell r="BO78" t="str">
            <v>-</v>
          </cell>
          <cell r="BP78">
            <v>10.4</v>
          </cell>
        </row>
        <row r="79">
          <cell r="A79" t="str">
            <v>IND9</v>
          </cell>
          <cell r="B79">
            <v>17.2</v>
          </cell>
          <cell r="C79">
            <v>18</v>
          </cell>
          <cell r="D79">
            <v>17.4</v>
          </cell>
          <cell r="E79">
            <v>17.1</v>
          </cell>
          <cell r="F79">
            <v>16.7</v>
          </cell>
          <cell r="G79">
            <v>17</v>
          </cell>
          <cell r="H79">
            <v>17.3</v>
          </cell>
          <cell r="I79">
            <v>17.2</v>
          </cell>
          <cell r="J79">
            <v>17.5</v>
          </cell>
          <cell r="K79">
            <v>17.3</v>
          </cell>
          <cell r="L79">
            <v>2963</v>
          </cell>
          <cell r="M79">
            <v>3105</v>
          </cell>
          <cell r="N79">
            <v>2998</v>
          </cell>
          <cell r="O79">
            <v>2936</v>
          </cell>
          <cell r="P79">
            <v>2865</v>
          </cell>
          <cell r="Q79">
            <v>2918</v>
          </cell>
          <cell r="R79">
            <v>2971</v>
          </cell>
          <cell r="S79">
            <v>2954</v>
          </cell>
          <cell r="T79">
            <v>3007</v>
          </cell>
          <cell r="U79">
            <v>2971</v>
          </cell>
          <cell r="V79" t="str">
            <v>20-21日</v>
          </cell>
          <cell r="W79" t="str">
            <v>超22日</v>
          </cell>
          <cell r="X79">
            <v>13.6</v>
          </cell>
          <cell r="Y79">
            <v>14.4</v>
          </cell>
          <cell r="Z79">
            <v>13.8</v>
          </cell>
          <cell r="AA79">
            <v>13.5</v>
          </cell>
          <cell r="AB79">
            <v>13.1</v>
          </cell>
          <cell r="AC79">
            <v>13.4</v>
          </cell>
          <cell r="AD79">
            <v>13.7</v>
          </cell>
          <cell r="AE79">
            <v>13.6</v>
          </cell>
          <cell r="AF79">
            <v>13.9</v>
          </cell>
          <cell r="AG79">
            <v>13.7</v>
          </cell>
          <cell r="AH79">
            <v>2487</v>
          </cell>
          <cell r="AI79">
            <v>2629</v>
          </cell>
          <cell r="AJ79">
            <v>2522</v>
          </cell>
          <cell r="AK79">
            <v>2441</v>
          </cell>
          <cell r="AL79">
            <v>2388</v>
          </cell>
          <cell r="AM79">
            <v>2441</v>
          </cell>
          <cell r="AN79">
            <v>2494</v>
          </cell>
          <cell r="AO79">
            <v>2477</v>
          </cell>
          <cell r="AP79">
            <v>2530</v>
          </cell>
          <cell r="AQ79">
            <v>2494</v>
          </cell>
          <cell r="AR79" t="str">
            <v>23-27日</v>
          </cell>
          <cell r="AS79" t="str">
            <v>-</v>
          </cell>
          <cell r="AT79">
            <v>12.8</v>
          </cell>
          <cell r="AU79">
            <v>13.6</v>
          </cell>
          <cell r="AV79">
            <v>13</v>
          </cell>
          <cell r="AW79">
            <v>12.7</v>
          </cell>
          <cell r="AX79">
            <v>12.3</v>
          </cell>
          <cell r="AY79">
            <v>12.6</v>
          </cell>
          <cell r="AZ79">
            <v>12.9</v>
          </cell>
          <cell r="BA79">
            <v>12.8</v>
          </cell>
          <cell r="BB79">
            <v>13.1</v>
          </cell>
          <cell r="BC79">
            <v>12.9</v>
          </cell>
          <cell r="BD79">
            <v>2346</v>
          </cell>
          <cell r="BE79">
            <v>2488</v>
          </cell>
          <cell r="BF79">
            <v>2381</v>
          </cell>
          <cell r="BG79">
            <v>2300</v>
          </cell>
          <cell r="BH79">
            <v>2247</v>
          </cell>
          <cell r="BI79">
            <v>2300</v>
          </cell>
          <cell r="BJ79">
            <v>2353</v>
          </cell>
          <cell r="BK79">
            <v>2336</v>
          </cell>
          <cell r="BL79">
            <v>2389</v>
          </cell>
          <cell r="BM79">
            <v>2353</v>
          </cell>
          <cell r="BN79" t="str">
            <v>24-28日</v>
          </cell>
          <cell r="BO79" t="str">
            <v>-</v>
          </cell>
          <cell r="BP79">
            <v>10.4</v>
          </cell>
        </row>
        <row r="80">
          <cell r="A80" t="str">
            <v>MDW2</v>
          </cell>
          <cell r="B80">
            <v>17.2</v>
          </cell>
          <cell r="C80">
            <v>18</v>
          </cell>
          <cell r="D80">
            <v>17.4</v>
          </cell>
          <cell r="E80">
            <v>17.1</v>
          </cell>
          <cell r="F80">
            <v>16.7</v>
          </cell>
          <cell r="G80">
            <v>17</v>
          </cell>
          <cell r="H80">
            <v>17.3</v>
          </cell>
          <cell r="I80">
            <v>17.2</v>
          </cell>
          <cell r="J80">
            <v>17.5</v>
          </cell>
          <cell r="K80">
            <v>17.3</v>
          </cell>
          <cell r="L80">
            <v>2963</v>
          </cell>
          <cell r="M80">
            <v>3105</v>
          </cell>
          <cell r="N80">
            <v>2998</v>
          </cell>
          <cell r="O80">
            <v>2936</v>
          </cell>
          <cell r="P80">
            <v>2865</v>
          </cell>
          <cell r="Q80">
            <v>2918</v>
          </cell>
          <cell r="R80">
            <v>2971</v>
          </cell>
          <cell r="S80">
            <v>2954</v>
          </cell>
          <cell r="T80">
            <v>3007</v>
          </cell>
          <cell r="U80">
            <v>2971</v>
          </cell>
          <cell r="V80" t="str">
            <v>20-21日</v>
          </cell>
          <cell r="W80" t="str">
            <v>超22日</v>
          </cell>
          <cell r="X80">
            <v>13.6</v>
          </cell>
          <cell r="Y80">
            <v>14.4</v>
          </cell>
          <cell r="Z80">
            <v>13.8</v>
          </cell>
          <cell r="AA80">
            <v>13.5</v>
          </cell>
          <cell r="AB80">
            <v>13.1</v>
          </cell>
          <cell r="AC80">
            <v>13.4</v>
          </cell>
          <cell r="AD80">
            <v>13.7</v>
          </cell>
          <cell r="AE80">
            <v>13.6</v>
          </cell>
          <cell r="AF80">
            <v>13.9</v>
          </cell>
          <cell r="AG80">
            <v>13.7</v>
          </cell>
          <cell r="AH80">
            <v>2487</v>
          </cell>
          <cell r="AI80">
            <v>2629</v>
          </cell>
          <cell r="AJ80">
            <v>2522</v>
          </cell>
          <cell r="AK80">
            <v>2441</v>
          </cell>
          <cell r="AL80">
            <v>2388</v>
          </cell>
          <cell r="AM80">
            <v>2441</v>
          </cell>
          <cell r="AN80">
            <v>2494</v>
          </cell>
          <cell r="AO80">
            <v>2477</v>
          </cell>
          <cell r="AP80">
            <v>2530</v>
          </cell>
          <cell r="AQ80">
            <v>2494</v>
          </cell>
          <cell r="AR80" t="str">
            <v>23-27日</v>
          </cell>
          <cell r="AS80" t="str">
            <v>-</v>
          </cell>
          <cell r="AT80">
            <v>12.8</v>
          </cell>
          <cell r="AU80">
            <v>13.6</v>
          </cell>
          <cell r="AV80">
            <v>13</v>
          </cell>
          <cell r="AW80">
            <v>12.7</v>
          </cell>
          <cell r="AX80">
            <v>12.3</v>
          </cell>
          <cell r="AY80">
            <v>12.6</v>
          </cell>
          <cell r="AZ80">
            <v>12.9</v>
          </cell>
          <cell r="BA80">
            <v>12.8</v>
          </cell>
          <cell r="BB80">
            <v>13.1</v>
          </cell>
          <cell r="BC80">
            <v>12.9</v>
          </cell>
          <cell r="BD80">
            <v>2346</v>
          </cell>
          <cell r="BE80">
            <v>2488</v>
          </cell>
          <cell r="BF80">
            <v>2381</v>
          </cell>
          <cell r="BG80">
            <v>2300</v>
          </cell>
          <cell r="BH80">
            <v>2247</v>
          </cell>
          <cell r="BI80">
            <v>2300</v>
          </cell>
          <cell r="BJ80">
            <v>2353</v>
          </cell>
          <cell r="BK80">
            <v>2336</v>
          </cell>
          <cell r="BL80">
            <v>2389</v>
          </cell>
          <cell r="BM80">
            <v>2353</v>
          </cell>
          <cell r="BN80" t="str">
            <v>24-28日</v>
          </cell>
          <cell r="BO80" t="str">
            <v>-</v>
          </cell>
          <cell r="BP80">
            <v>10.4</v>
          </cell>
        </row>
        <row r="81">
          <cell r="A81" t="str">
            <v>FWA4</v>
          </cell>
          <cell r="B81">
            <v>17.2</v>
          </cell>
          <cell r="C81">
            <v>18</v>
          </cell>
          <cell r="D81">
            <v>17.4</v>
          </cell>
          <cell r="E81">
            <v>17.1</v>
          </cell>
          <cell r="F81">
            <v>16.7</v>
          </cell>
          <cell r="G81">
            <v>17</v>
          </cell>
          <cell r="H81">
            <v>17.3</v>
          </cell>
          <cell r="I81">
            <v>17.2</v>
          </cell>
          <cell r="J81">
            <v>17.5</v>
          </cell>
          <cell r="K81">
            <v>17.3</v>
          </cell>
          <cell r="L81">
            <v>2963</v>
          </cell>
          <cell r="M81">
            <v>3105</v>
          </cell>
          <cell r="N81">
            <v>2998</v>
          </cell>
          <cell r="O81">
            <v>2936</v>
          </cell>
          <cell r="P81">
            <v>2865</v>
          </cell>
          <cell r="Q81">
            <v>2918</v>
          </cell>
          <cell r="R81">
            <v>2971</v>
          </cell>
          <cell r="S81">
            <v>2954</v>
          </cell>
          <cell r="T81">
            <v>3007</v>
          </cell>
          <cell r="U81">
            <v>2971</v>
          </cell>
          <cell r="V81" t="str">
            <v>20-21日</v>
          </cell>
          <cell r="W81" t="str">
            <v>超22日</v>
          </cell>
          <cell r="X81">
            <v>13.6</v>
          </cell>
          <cell r="Y81">
            <v>14.4</v>
          </cell>
          <cell r="Z81">
            <v>13.8</v>
          </cell>
          <cell r="AA81">
            <v>13.5</v>
          </cell>
          <cell r="AB81">
            <v>13.1</v>
          </cell>
          <cell r="AC81">
            <v>13.4</v>
          </cell>
          <cell r="AD81">
            <v>13.7</v>
          </cell>
          <cell r="AE81">
            <v>13.6</v>
          </cell>
          <cell r="AF81">
            <v>13.9</v>
          </cell>
          <cell r="AG81">
            <v>13.7</v>
          </cell>
          <cell r="AH81">
            <v>2487</v>
          </cell>
          <cell r="AI81">
            <v>2629</v>
          </cell>
          <cell r="AJ81">
            <v>2522</v>
          </cell>
          <cell r="AK81">
            <v>2441</v>
          </cell>
          <cell r="AL81">
            <v>2388</v>
          </cell>
          <cell r="AM81">
            <v>2441</v>
          </cell>
          <cell r="AN81">
            <v>2494</v>
          </cell>
          <cell r="AO81">
            <v>2477</v>
          </cell>
          <cell r="AP81">
            <v>2530</v>
          </cell>
          <cell r="AQ81">
            <v>2494</v>
          </cell>
          <cell r="AR81" t="str">
            <v>23-27日</v>
          </cell>
          <cell r="AS81" t="str">
            <v>-</v>
          </cell>
          <cell r="AT81">
            <v>12.8</v>
          </cell>
          <cell r="AU81">
            <v>13.6</v>
          </cell>
          <cell r="AV81">
            <v>13</v>
          </cell>
          <cell r="AW81">
            <v>12.7</v>
          </cell>
          <cell r="AX81">
            <v>12.3</v>
          </cell>
          <cell r="AY81">
            <v>12.6</v>
          </cell>
          <cell r="AZ81">
            <v>12.9</v>
          </cell>
          <cell r="BA81">
            <v>12.8</v>
          </cell>
          <cell r="BB81">
            <v>13.1</v>
          </cell>
          <cell r="BC81">
            <v>12.9</v>
          </cell>
          <cell r="BD81">
            <v>2346</v>
          </cell>
          <cell r="BE81">
            <v>2488</v>
          </cell>
          <cell r="BF81">
            <v>2381</v>
          </cell>
          <cell r="BG81">
            <v>2300</v>
          </cell>
          <cell r="BH81">
            <v>2247</v>
          </cell>
          <cell r="BI81">
            <v>2300</v>
          </cell>
          <cell r="BJ81">
            <v>2353</v>
          </cell>
          <cell r="BK81">
            <v>2336</v>
          </cell>
          <cell r="BL81">
            <v>2389</v>
          </cell>
          <cell r="BM81">
            <v>2353</v>
          </cell>
          <cell r="BN81" t="str">
            <v>24-28日</v>
          </cell>
          <cell r="BO81" t="str">
            <v>-</v>
          </cell>
          <cell r="BP81">
            <v>10.4</v>
          </cell>
        </row>
        <row r="82">
          <cell r="A82" t="str">
            <v>MQJ1</v>
          </cell>
          <cell r="B82" t="str">
            <v>-</v>
          </cell>
          <cell r="C82" t="str">
            <v>-</v>
          </cell>
          <cell r="D82" t="str">
            <v>-</v>
          </cell>
          <cell r="E82" t="str">
            <v>-</v>
          </cell>
          <cell r="F82" t="str">
            <v>-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>
            <v>13.6</v>
          </cell>
          <cell r="Y82">
            <v>14.4</v>
          </cell>
          <cell r="Z82">
            <v>13.8</v>
          </cell>
          <cell r="AA82">
            <v>13.5</v>
          </cell>
          <cell r="AB82">
            <v>13.1</v>
          </cell>
          <cell r="AC82">
            <v>13.4</v>
          </cell>
          <cell r="AD82">
            <v>13.7</v>
          </cell>
          <cell r="AE82">
            <v>13.6</v>
          </cell>
          <cell r="AF82">
            <v>13.9</v>
          </cell>
          <cell r="AG82">
            <v>13.7</v>
          </cell>
          <cell r="AH82">
            <v>2487</v>
          </cell>
          <cell r="AI82">
            <v>2629</v>
          </cell>
          <cell r="AJ82">
            <v>2522</v>
          </cell>
          <cell r="AK82">
            <v>2441</v>
          </cell>
          <cell r="AL82">
            <v>2388</v>
          </cell>
          <cell r="AM82">
            <v>2441</v>
          </cell>
          <cell r="AN82">
            <v>2494</v>
          </cell>
          <cell r="AO82">
            <v>2477</v>
          </cell>
          <cell r="AP82">
            <v>2530</v>
          </cell>
          <cell r="AQ82">
            <v>2494</v>
          </cell>
          <cell r="AR82" t="str">
            <v>23-27日</v>
          </cell>
          <cell r="AS82" t="str">
            <v>-</v>
          </cell>
          <cell r="AT82">
            <v>12.8</v>
          </cell>
          <cell r="AU82">
            <v>13.6</v>
          </cell>
          <cell r="AV82">
            <v>13</v>
          </cell>
          <cell r="AW82">
            <v>12.7</v>
          </cell>
          <cell r="AX82">
            <v>12.3</v>
          </cell>
          <cell r="AY82">
            <v>12.6</v>
          </cell>
          <cell r="AZ82">
            <v>12.9</v>
          </cell>
          <cell r="BA82">
            <v>12.8</v>
          </cell>
          <cell r="BB82">
            <v>13.1</v>
          </cell>
          <cell r="BC82">
            <v>12.9</v>
          </cell>
          <cell r="BD82">
            <v>2346</v>
          </cell>
          <cell r="BE82">
            <v>2488</v>
          </cell>
          <cell r="BF82">
            <v>2381</v>
          </cell>
          <cell r="BG82">
            <v>2300</v>
          </cell>
          <cell r="BH82">
            <v>2247</v>
          </cell>
          <cell r="BI82">
            <v>2300</v>
          </cell>
          <cell r="BJ82">
            <v>2353</v>
          </cell>
          <cell r="BK82">
            <v>2336</v>
          </cell>
          <cell r="BL82">
            <v>2389</v>
          </cell>
          <cell r="BM82">
            <v>2353</v>
          </cell>
          <cell r="BN82" t="str">
            <v>24-28日</v>
          </cell>
          <cell r="BO82" t="str">
            <v>-</v>
          </cell>
          <cell r="BP82">
            <v>10.4</v>
          </cell>
        </row>
        <row r="83">
          <cell r="A83" t="str">
            <v>RFD2</v>
          </cell>
          <cell r="B83" t="str">
            <v>-</v>
          </cell>
          <cell r="C83" t="str">
            <v>-</v>
          </cell>
          <cell r="D83" t="str">
            <v>-</v>
          </cell>
          <cell r="E83" t="str">
            <v>-</v>
          </cell>
          <cell r="F83" t="str">
            <v>-</v>
          </cell>
          <cell r="G83" t="str">
            <v>-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>
            <v>13.6</v>
          </cell>
          <cell r="Y83">
            <v>14.4</v>
          </cell>
          <cell r="Z83">
            <v>13.8</v>
          </cell>
          <cell r="AA83">
            <v>13.5</v>
          </cell>
          <cell r="AB83">
            <v>13.1</v>
          </cell>
          <cell r="AC83">
            <v>13.4</v>
          </cell>
          <cell r="AD83">
            <v>13.7</v>
          </cell>
          <cell r="AE83">
            <v>13.6</v>
          </cell>
          <cell r="AF83">
            <v>13.9</v>
          </cell>
          <cell r="AG83">
            <v>13.7</v>
          </cell>
          <cell r="AH83">
            <v>2487</v>
          </cell>
          <cell r="AI83">
            <v>2629</v>
          </cell>
          <cell r="AJ83">
            <v>2522</v>
          </cell>
          <cell r="AK83">
            <v>2441</v>
          </cell>
          <cell r="AL83">
            <v>2388</v>
          </cell>
          <cell r="AM83">
            <v>2441</v>
          </cell>
          <cell r="AN83">
            <v>2494</v>
          </cell>
          <cell r="AO83">
            <v>2477</v>
          </cell>
          <cell r="AP83">
            <v>2530</v>
          </cell>
          <cell r="AQ83">
            <v>2494</v>
          </cell>
          <cell r="AR83" t="str">
            <v>23-27日</v>
          </cell>
          <cell r="AS83" t="str">
            <v>-</v>
          </cell>
          <cell r="AT83">
            <v>12.8</v>
          </cell>
          <cell r="AU83">
            <v>13.6</v>
          </cell>
          <cell r="AV83">
            <v>13</v>
          </cell>
          <cell r="AW83">
            <v>12.7</v>
          </cell>
          <cell r="AX83">
            <v>12.3</v>
          </cell>
          <cell r="AY83">
            <v>12.6</v>
          </cell>
          <cell r="AZ83">
            <v>12.9</v>
          </cell>
          <cell r="BA83">
            <v>12.8</v>
          </cell>
          <cell r="BB83">
            <v>13.1</v>
          </cell>
          <cell r="BC83">
            <v>12.9</v>
          </cell>
          <cell r="BD83">
            <v>2346</v>
          </cell>
          <cell r="BE83">
            <v>2488</v>
          </cell>
          <cell r="BF83">
            <v>2381</v>
          </cell>
          <cell r="BG83">
            <v>2300</v>
          </cell>
          <cell r="BH83">
            <v>2247</v>
          </cell>
          <cell r="BI83">
            <v>2300</v>
          </cell>
          <cell r="BJ83">
            <v>2353</v>
          </cell>
          <cell r="BK83">
            <v>2336</v>
          </cell>
          <cell r="BL83">
            <v>2389</v>
          </cell>
          <cell r="BM83">
            <v>2353</v>
          </cell>
          <cell r="BN83" t="str">
            <v>24-28日</v>
          </cell>
          <cell r="BO83" t="str">
            <v>-</v>
          </cell>
          <cell r="BP83">
            <v>10.4</v>
          </cell>
        </row>
        <row r="84">
          <cell r="A84" t="str">
            <v>MDW6</v>
          </cell>
          <cell r="B84" t="str">
            <v>-</v>
          </cell>
          <cell r="C84" t="str">
            <v>-</v>
          </cell>
          <cell r="D84" t="str">
            <v>-</v>
          </cell>
          <cell r="E84" t="str">
            <v>-</v>
          </cell>
          <cell r="F84" t="str">
            <v>-</v>
          </cell>
          <cell r="G84" t="str">
            <v>-</v>
          </cell>
          <cell r="H84" t="str">
            <v>-</v>
          </cell>
          <cell r="I84" t="str">
            <v>-</v>
          </cell>
          <cell r="J84" t="str">
            <v>-</v>
          </cell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>
            <v>13.8</v>
          </cell>
          <cell r="Y84">
            <v>14.6</v>
          </cell>
          <cell r="Z84">
            <v>14</v>
          </cell>
          <cell r="AA84">
            <v>13.7</v>
          </cell>
          <cell r="AB84">
            <v>13.3</v>
          </cell>
          <cell r="AC84">
            <v>13.6</v>
          </cell>
          <cell r="AD84">
            <v>13.9</v>
          </cell>
          <cell r="AE84">
            <v>13.8</v>
          </cell>
          <cell r="AF84">
            <v>14.1</v>
          </cell>
          <cell r="AG84">
            <v>13.9</v>
          </cell>
          <cell r="AH84">
            <v>2528</v>
          </cell>
          <cell r="AI84">
            <v>2670</v>
          </cell>
          <cell r="AJ84">
            <v>2563</v>
          </cell>
          <cell r="AK84">
            <v>2482</v>
          </cell>
          <cell r="AL84">
            <v>2429</v>
          </cell>
          <cell r="AM84">
            <v>2482</v>
          </cell>
          <cell r="AN84">
            <v>2535</v>
          </cell>
          <cell r="AO84">
            <v>2518</v>
          </cell>
          <cell r="AP84">
            <v>2571</v>
          </cell>
          <cell r="AQ84">
            <v>2535</v>
          </cell>
          <cell r="AR84" t="str">
            <v>23-27日</v>
          </cell>
          <cell r="AS84" t="str">
            <v>-</v>
          </cell>
          <cell r="AT84">
            <v>13</v>
          </cell>
          <cell r="AU84">
            <v>13.8</v>
          </cell>
          <cell r="AV84">
            <v>13.2</v>
          </cell>
          <cell r="AW84">
            <v>12.9</v>
          </cell>
          <cell r="AX84">
            <v>12.5</v>
          </cell>
          <cell r="AY84">
            <v>12.8</v>
          </cell>
          <cell r="AZ84">
            <v>13.1</v>
          </cell>
          <cell r="BA84">
            <v>13</v>
          </cell>
          <cell r="BB84">
            <v>13.3</v>
          </cell>
          <cell r="BC84">
            <v>13.1</v>
          </cell>
          <cell r="BD84">
            <v>2387</v>
          </cell>
          <cell r="BE84">
            <v>2529</v>
          </cell>
          <cell r="BF84">
            <v>2422</v>
          </cell>
          <cell r="BG84">
            <v>2341</v>
          </cell>
          <cell r="BH84">
            <v>2288</v>
          </cell>
          <cell r="BI84">
            <v>2341</v>
          </cell>
          <cell r="BJ84">
            <v>2394</v>
          </cell>
          <cell r="BK84">
            <v>2377</v>
          </cell>
          <cell r="BL84">
            <v>2430</v>
          </cell>
          <cell r="BM84">
            <v>2394</v>
          </cell>
          <cell r="BN84" t="str">
            <v>24-28日</v>
          </cell>
          <cell r="BO84" t="str">
            <v>-</v>
          </cell>
          <cell r="BP84">
            <v>10.6</v>
          </cell>
        </row>
        <row r="85">
          <cell r="A85" t="str">
            <v>ORD2</v>
          </cell>
          <cell r="B85" t="str">
            <v>-</v>
          </cell>
          <cell r="C85" t="str">
            <v>-</v>
          </cell>
          <cell r="D85" t="str">
            <v>-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-</v>
          </cell>
          <cell r="I85" t="str">
            <v>-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>
            <v>13.8</v>
          </cell>
          <cell r="Y85">
            <v>14.6</v>
          </cell>
          <cell r="Z85">
            <v>14</v>
          </cell>
          <cell r="AA85">
            <v>13.7</v>
          </cell>
          <cell r="AB85">
            <v>13.3</v>
          </cell>
          <cell r="AC85">
            <v>13.6</v>
          </cell>
          <cell r="AD85">
            <v>13.9</v>
          </cell>
          <cell r="AE85">
            <v>13.8</v>
          </cell>
          <cell r="AF85">
            <v>14.1</v>
          </cell>
          <cell r="AG85">
            <v>13.9</v>
          </cell>
          <cell r="AH85">
            <v>2528</v>
          </cell>
          <cell r="AI85">
            <v>2670</v>
          </cell>
          <cell r="AJ85">
            <v>2563</v>
          </cell>
          <cell r="AK85">
            <v>2482</v>
          </cell>
          <cell r="AL85">
            <v>2429</v>
          </cell>
          <cell r="AM85">
            <v>2482</v>
          </cell>
          <cell r="AN85">
            <v>2535</v>
          </cell>
          <cell r="AO85">
            <v>2518</v>
          </cell>
          <cell r="AP85">
            <v>2571</v>
          </cell>
          <cell r="AQ85">
            <v>2535</v>
          </cell>
          <cell r="AR85" t="str">
            <v>23-27日</v>
          </cell>
          <cell r="AS85" t="str">
            <v>-</v>
          </cell>
          <cell r="AT85">
            <v>13</v>
          </cell>
          <cell r="AU85">
            <v>13.8</v>
          </cell>
          <cell r="AV85">
            <v>13.2</v>
          </cell>
          <cell r="AW85">
            <v>12.9</v>
          </cell>
          <cell r="AX85">
            <v>12.5</v>
          </cell>
          <cell r="AY85">
            <v>12.8</v>
          </cell>
          <cell r="AZ85">
            <v>13.1</v>
          </cell>
          <cell r="BA85">
            <v>13</v>
          </cell>
          <cell r="BB85">
            <v>13.3</v>
          </cell>
          <cell r="BC85">
            <v>13.1</v>
          </cell>
          <cell r="BD85">
            <v>2387</v>
          </cell>
          <cell r="BE85">
            <v>2529</v>
          </cell>
          <cell r="BF85">
            <v>2422</v>
          </cell>
          <cell r="BG85">
            <v>2341</v>
          </cell>
          <cell r="BH85">
            <v>2288</v>
          </cell>
          <cell r="BI85">
            <v>2341</v>
          </cell>
          <cell r="BJ85">
            <v>2394</v>
          </cell>
          <cell r="BK85">
            <v>2377</v>
          </cell>
          <cell r="BL85">
            <v>2430</v>
          </cell>
          <cell r="BM85">
            <v>2394</v>
          </cell>
          <cell r="BN85" t="str">
            <v>24-28日</v>
          </cell>
          <cell r="BO85" t="str">
            <v>-</v>
          </cell>
          <cell r="BP85">
            <v>10.6</v>
          </cell>
        </row>
        <row r="86">
          <cell r="A86" t="str">
            <v>STL3</v>
          </cell>
          <cell r="B86" t="str">
            <v>-</v>
          </cell>
          <cell r="C86" t="str">
            <v>-</v>
          </cell>
          <cell r="D86" t="str">
            <v>-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-</v>
          </cell>
          <cell r="I86" t="str">
            <v>-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>
            <v>13.8</v>
          </cell>
          <cell r="Y86">
            <v>14.6</v>
          </cell>
          <cell r="Z86">
            <v>14</v>
          </cell>
          <cell r="AA86">
            <v>13.7</v>
          </cell>
          <cell r="AB86">
            <v>13.3</v>
          </cell>
          <cell r="AC86">
            <v>13.6</v>
          </cell>
          <cell r="AD86">
            <v>13.9</v>
          </cell>
          <cell r="AE86">
            <v>13.8</v>
          </cell>
          <cell r="AF86">
            <v>14.1</v>
          </cell>
          <cell r="AG86">
            <v>13.9</v>
          </cell>
          <cell r="AH86">
            <v>2528</v>
          </cell>
          <cell r="AI86">
            <v>2670</v>
          </cell>
          <cell r="AJ86">
            <v>2563</v>
          </cell>
          <cell r="AK86">
            <v>2482</v>
          </cell>
          <cell r="AL86">
            <v>2429</v>
          </cell>
          <cell r="AM86">
            <v>2482</v>
          </cell>
          <cell r="AN86">
            <v>2535</v>
          </cell>
          <cell r="AO86">
            <v>2518</v>
          </cell>
          <cell r="AP86">
            <v>2571</v>
          </cell>
          <cell r="AQ86">
            <v>2535</v>
          </cell>
          <cell r="AR86" t="str">
            <v>23-27日</v>
          </cell>
          <cell r="AS86" t="str">
            <v>-</v>
          </cell>
          <cell r="AT86">
            <v>13</v>
          </cell>
          <cell r="AU86">
            <v>13.8</v>
          </cell>
          <cell r="AV86">
            <v>13.2</v>
          </cell>
          <cell r="AW86">
            <v>12.9</v>
          </cell>
          <cell r="AX86">
            <v>12.5</v>
          </cell>
          <cell r="AY86">
            <v>12.8</v>
          </cell>
          <cell r="AZ86">
            <v>13.1</v>
          </cell>
          <cell r="BA86">
            <v>13</v>
          </cell>
          <cell r="BB86">
            <v>13.3</v>
          </cell>
          <cell r="BC86">
            <v>13.1</v>
          </cell>
          <cell r="BD86">
            <v>2387</v>
          </cell>
          <cell r="BE86">
            <v>2529</v>
          </cell>
          <cell r="BF86">
            <v>2422</v>
          </cell>
          <cell r="BG86">
            <v>2341</v>
          </cell>
          <cell r="BH86">
            <v>2288</v>
          </cell>
          <cell r="BI86">
            <v>2341</v>
          </cell>
          <cell r="BJ86">
            <v>2394</v>
          </cell>
          <cell r="BK86">
            <v>2377</v>
          </cell>
          <cell r="BL86">
            <v>2430</v>
          </cell>
          <cell r="BM86">
            <v>2394</v>
          </cell>
          <cell r="BN86" t="str">
            <v>24-28日</v>
          </cell>
          <cell r="BO86" t="str">
            <v>-</v>
          </cell>
          <cell r="BP86">
            <v>10.6</v>
          </cell>
        </row>
        <row r="87">
          <cell r="A87" t="str">
            <v>STL4</v>
          </cell>
          <cell r="B87" t="str">
            <v>-</v>
          </cell>
          <cell r="C87" t="str">
            <v>-</v>
          </cell>
          <cell r="D87" t="str">
            <v>-</v>
          </cell>
          <cell r="E87" t="str">
            <v>-</v>
          </cell>
          <cell r="F87" t="str">
            <v>-</v>
          </cell>
          <cell r="G87" t="str">
            <v>-</v>
          </cell>
          <cell r="H87" t="str">
            <v>-</v>
          </cell>
          <cell r="I87" t="str">
            <v>-</v>
          </cell>
          <cell r="J87" t="str">
            <v>-</v>
          </cell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>
            <v>13.8</v>
          </cell>
          <cell r="Y87">
            <v>14.6</v>
          </cell>
          <cell r="Z87">
            <v>14</v>
          </cell>
          <cell r="AA87">
            <v>13.7</v>
          </cell>
          <cell r="AB87">
            <v>13.3</v>
          </cell>
          <cell r="AC87">
            <v>13.6</v>
          </cell>
          <cell r="AD87">
            <v>13.9</v>
          </cell>
          <cell r="AE87">
            <v>13.8</v>
          </cell>
          <cell r="AF87">
            <v>14.1</v>
          </cell>
          <cell r="AG87">
            <v>13.9</v>
          </cell>
          <cell r="AH87">
            <v>2528</v>
          </cell>
          <cell r="AI87">
            <v>2670</v>
          </cell>
          <cell r="AJ87">
            <v>2563</v>
          </cell>
          <cell r="AK87">
            <v>2482</v>
          </cell>
          <cell r="AL87">
            <v>2429</v>
          </cell>
          <cell r="AM87">
            <v>2482</v>
          </cell>
          <cell r="AN87">
            <v>2535</v>
          </cell>
          <cell r="AO87">
            <v>2518</v>
          </cell>
          <cell r="AP87">
            <v>2571</v>
          </cell>
          <cell r="AQ87">
            <v>2535</v>
          </cell>
          <cell r="AR87" t="str">
            <v>23-27日</v>
          </cell>
          <cell r="AS87" t="str">
            <v>-</v>
          </cell>
          <cell r="AT87">
            <v>13</v>
          </cell>
          <cell r="AU87">
            <v>13.8</v>
          </cell>
          <cell r="AV87">
            <v>13.2</v>
          </cell>
          <cell r="AW87">
            <v>12.9</v>
          </cell>
          <cell r="AX87">
            <v>12.5</v>
          </cell>
          <cell r="AY87">
            <v>12.8</v>
          </cell>
          <cell r="AZ87">
            <v>13.1</v>
          </cell>
          <cell r="BA87">
            <v>13</v>
          </cell>
          <cell r="BB87">
            <v>13.3</v>
          </cell>
          <cell r="BC87">
            <v>13.1</v>
          </cell>
          <cell r="BD87">
            <v>2387</v>
          </cell>
          <cell r="BE87">
            <v>2529</v>
          </cell>
          <cell r="BF87">
            <v>2422</v>
          </cell>
          <cell r="BG87">
            <v>2341</v>
          </cell>
          <cell r="BH87">
            <v>2288</v>
          </cell>
          <cell r="BI87">
            <v>2341</v>
          </cell>
          <cell r="BJ87">
            <v>2394</v>
          </cell>
          <cell r="BK87">
            <v>2377</v>
          </cell>
          <cell r="BL87">
            <v>2430</v>
          </cell>
          <cell r="BM87">
            <v>2394</v>
          </cell>
          <cell r="BN87" t="str">
            <v>24-28日</v>
          </cell>
          <cell r="BO87" t="str">
            <v>-</v>
          </cell>
          <cell r="BP87">
            <v>10.6</v>
          </cell>
        </row>
        <row r="88">
          <cell r="A88" t="str">
            <v>JVL1</v>
          </cell>
          <cell r="B88" t="str">
            <v>-</v>
          </cell>
          <cell r="C88" t="str">
            <v>-</v>
          </cell>
          <cell r="D88" t="str">
            <v>-</v>
          </cell>
          <cell r="E88" t="str">
            <v>-</v>
          </cell>
          <cell r="F88" t="str">
            <v>-</v>
          </cell>
          <cell r="G88" t="str">
            <v>-</v>
          </cell>
          <cell r="H88" t="str">
            <v>-</v>
          </cell>
          <cell r="I88" t="str">
            <v>-</v>
          </cell>
          <cell r="J88" t="str">
            <v>-</v>
          </cell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>
            <v>13.8</v>
          </cell>
          <cell r="Y88">
            <v>14.6</v>
          </cell>
          <cell r="Z88">
            <v>14</v>
          </cell>
          <cell r="AA88">
            <v>13.7</v>
          </cell>
          <cell r="AB88">
            <v>13.3</v>
          </cell>
          <cell r="AC88">
            <v>13.6</v>
          </cell>
          <cell r="AD88">
            <v>13.9</v>
          </cell>
          <cell r="AE88">
            <v>13.8</v>
          </cell>
          <cell r="AF88">
            <v>14.1</v>
          </cell>
          <cell r="AG88">
            <v>13.9</v>
          </cell>
          <cell r="AH88">
            <v>2528</v>
          </cell>
          <cell r="AI88">
            <v>2670</v>
          </cell>
          <cell r="AJ88">
            <v>2563</v>
          </cell>
          <cell r="AK88">
            <v>2482</v>
          </cell>
          <cell r="AL88">
            <v>2429</v>
          </cell>
          <cell r="AM88">
            <v>2482</v>
          </cell>
          <cell r="AN88">
            <v>2535</v>
          </cell>
          <cell r="AO88">
            <v>2518</v>
          </cell>
          <cell r="AP88">
            <v>2571</v>
          </cell>
          <cell r="AQ88">
            <v>2535</v>
          </cell>
          <cell r="AR88" t="str">
            <v>23-27日</v>
          </cell>
          <cell r="AS88" t="str">
            <v>-</v>
          </cell>
          <cell r="AT88">
            <v>13</v>
          </cell>
          <cell r="AU88">
            <v>13.8</v>
          </cell>
          <cell r="AV88">
            <v>13.2</v>
          </cell>
          <cell r="AW88">
            <v>12.9</v>
          </cell>
          <cell r="AX88">
            <v>12.5</v>
          </cell>
          <cell r="AY88">
            <v>12.8</v>
          </cell>
          <cell r="AZ88">
            <v>13.1</v>
          </cell>
          <cell r="BA88">
            <v>13</v>
          </cell>
          <cell r="BB88">
            <v>13.3</v>
          </cell>
          <cell r="BC88">
            <v>13.1</v>
          </cell>
          <cell r="BD88">
            <v>2387</v>
          </cell>
          <cell r="BE88">
            <v>2529</v>
          </cell>
          <cell r="BF88">
            <v>2422</v>
          </cell>
          <cell r="BG88">
            <v>2341</v>
          </cell>
          <cell r="BH88">
            <v>2288</v>
          </cell>
          <cell r="BI88">
            <v>2341</v>
          </cell>
          <cell r="BJ88">
            <v>2394</v>
          </cell>
          <cell r="BK88">
            <v>2377</v>
          </cell>
          <cell r="BL88">
            <v>2430</v>
          </cell>
          <cell r="BM88">
            <v>2394</v>
          </cell>
          <cell r="BN88" t="str">
            <v>24-28日</v>
          </cell>
          <cell r="BO88" t="str">
            <v>-</v>
          </cell>
          <cell r="BP88">
            <v>10.6</v>
          </cell>
        </row>
        <row r="89">
          <cell r="A89" t="str">
            <v>IGQ2</v>
          </cell>
          <cell r="B89" t="str">
            <v>-</v>
          </cell>
          <cell r="C89" t="str">
            <v>-</v>
          </cell>
          <cell r="D89" t="str">
            <v>-</v>
          </cell>
          <cell r="E89" t="str">
            <v>-</v>
          </cell>
          <cell r="F89" t="str">
            <v>-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>
            <v>13.8</v>
          </cell>
          <cell r="Y89">
            <v>14.6</v>
          </cell>
          <cell r="Z89">
            <v>14</v>
          </cell>
          <cell r="AA89">
            <v>13.7</v>
          </cell>
          <cell r="AB89">
            <v>13.3</v>
          </cell>
          <cell r="AC89">
            <v>13.6</v>
          </cell>
          <cell r="AD89">
            <v>13.9</v>
          </cell>
          <cell r="AE89">
            <v>13.8</v>
          </cell>
          <cell r="AF89">
            <v>14.1</v>
          </cell>
          <cell r="AG89">
            <v>13.9</v>
          </cell>
          <cell r="AH89">
            <v>2528</v>
          </cell>
          <cell r="AI89">
            <v>2670</v>
          </cell>
          <cell r="AJ89">
            <v>2563</v>
          </cell>
          <cell r="AK89">
            <v>2482</v>
          </cell>
          <cell r="AL89">
            <v>2429</v>
          </cell>
          <cell r="AM89">
            <v>2482</v>
          </cell>
          <cell r="AN89">
            <v>2535</v>
          </cell>
          <cell r="AO89">
            <v>2518</v>
          </cell>
          <cell r="AP89">
            <v>2571</v>
          </cell>
          <cell r="AQ89">
            <v>2535</v>
          </cell>
          <cell r="AR89" t="str">
            <v>23-27日</v>
          </cell>
          <cell r="AS89" t="str">
            <v>-</v>
          </cell>
          <cell r="AT89">
            <v>13</v>
          </cell>
          <cell r="AU89">
            <v>13.8</v>
          </cell>
          <cell r="AV89">
            <v>13.2</v>
          </cell>
          <cell r="AW89">
            <v>12.9</v>
          </cell>
          <cell r="AX89">
            <v>12.5</v>
          </cell>
          <cell r="AY89">
            <v>12.8</v>
          </cell>
          <cell r="AZ89">
            <v>13.1</v>
          </cell>
          <cell r="BA89">
            <v>13</v>
          </cell>
          <cell r="BB89">
            <v>13.3</v>
          </cell>
          <cell r="BC89">
            <v>13.1</v>
          </cell>
          <cell r="BD89">
            <v>2387</v>
          </cell>
          <cell r="BE89">
            <v>2529</v>
          </cell>
          <cell r="BF89">
            <v>2422</v>
          </cell>
          <cell r="BG89">
            <v>2341</v>
          </cell>
          <cell r="BH89">
            <v>2288</v>
          </cell>
          <cell r="BI89">
            <v>2341</v>
          </cell>
          <cell r="BJ89">
            <v>2394</v>
          </cell>
          <cell r="BK89">
            <v>2377</v>
          </cell>
          <cell r="BL89">
            <v>2430</v>
          </cell>
          <cell r="BM89">
            <v>2394</v>
          </cell>
          <cell r="BN89" t="str">
            <v>24-28日</v>
          </cell>
          <cell r="BO89" t="str">
            <v>-</v>
          </cell>
          <cell r="BP89">
            <v>10.6</v>
          </cell>
        </row>
        <row r="90">
          <cell r="A90" t="str">
            <v>CMH3</v>
          </cell>
          <cell r="B90" t="str">
            <v>-</v>
          </cell>
          <cell r="C90" t="str">
            <v>-</v>
          </cell>
          <cell r="D90" t="str">
            <v>-</v>
          </cell>
          <cell r="E90" t="str">
            <v>-</v>
          </cell>
          <cell r="F90" t="str">
            <v>-</v>
          </cell>
          <cell r="G90" t="str">
            <v>-</v>
          </cell>
          <cell r="H90" t="str">
            <v>-</v>
          </cell>
          <cell r="I90" t="str">
            <v>-</v>
          </cell>
          <cell r="J90" t="str">
            <v>-</v>
          </cell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>
            <v>13.8</v>
          </cell>
          <cell r="Y90">
            <v>14.6</v>
          </cell>
          <cell r="Z90">
            <v>14</v>
          </cell>
          <cell r="AA90">
            <v>13.7</v>
          </cell>
          <cell r="AB90">
            <v>13.3</v>
          </cell>
          <cell r="AC90">
            <v>13.6</v>
          </cell>
          <cell r="AD90">
            <v>13.9</v>
          </cell>
          <cell r="AE90">
            <v>13.8</v>
          </cell>
          <cell r="AF90">
            <v>14.1</v>
          </cell>
          <cell r="AG90">
            <v>13.9</v>
          </cell>
          <cell r="AH90">
            <v>2528</v>
          </cell>
          <cell r="AI90">
            <v>2670</v>
          </cell>
          <cell r="AJ90">
            <v>2563</v>
          </cell>
          <cell r="AK90">
            <v>2482</v>
          </cell>
          <cell r="AL90">
            <v>2429</v>
          </cell>
          <cell r="AM90">
            <v>2482</v>
          </cell>
          <cell r="AN90">
            <v>2535</v>
          </cell>
          <cell r="AO90">
            <v>2518</v>
          </cell>
          <cell r="AP90">
            <v>2571</v>
          </cell>
          <cell r="AQ90">
            <v>2535</v>
          </cell>
          <cell r="AR90" t="str">
            <v>23-27日</v>
          </cell>
          <cell r="AS90" t="str">
            <v>-</v>
          </cell>
          <cell r="AT90">
            <v>13</v>
          </cell>
          <cell r="AU90">
            <v>13.8</v>
          </cell>
          <cell r="AV90">
            <v>13.2</v>
          </cell>
          <cell r="AW90">
            <v>12.9</v>
          </cell>
          <cell r="AX90">
            <v>12.5</v>
          </cell>
          <cell r="AY90">
            <v>12.8</v>
          </cell>
          <cell r="AZ90">
            <v>13.1</v>
          </cell>
          <cell r="BA90">
            <v>13</v>
          </cell>
          <cell r="BB90">
            <v>13.3</v>
          </cell>
          <cell r="BC90">
            <v>13.1</v>
          </cell>
          <cell r="BD90">
            <v>2387</v>
          </cell>
          <cell r="BE90">
            <v>2529</v>
          </cell>
          <cell r="BF90">
            <v>2422</v>
          </cell>
          <cell r="BG90">
            <v>2341</v>
          </cell>
          <cell r="BH90">
            <v>2288</v>
          </cell>
          <cell r="BI90">
            <v>2341</v>
          </cell>
          <cell r="BJ90">
            <v>2394</v>
          </cell>
          <cell r="BK90">
            <v>2377</v>
          </cell>
          <cell r="BL90">
            <v>2430</v>
          </cell>
          <cell r="BM90">
            <v>2394</v>
          </cell>
          <cell r="BN90" t="str">
            <v>24-28日</v>
          </cell>
          <cell r="BO90" t="str">
            <v>-</v>
          </cell>
          <cell r="BP90">
            <v>10.6</v>
          </cell>
        </row>
        <row r="91">
          <cell r="A91" t="str">
            <v>CMH2</v>
          </cell>
          <cell r="B91" t="str">
            <v>-</v>
          </cell>
          <cell r="C91" t="str">
            <v>-</v>
          </cell>
          <cell r="D91" t="str">
            <v>-</v>
          </cell>
          <cell r="E91" t="str">
            <v>-</v>
          </cell>
          <cell r="F91" t="str">
            <v>-</v>
          </cell>
          <cell r="G91" t="str">
            <v>-</v>
          </cell>
          <cell r="H91" t="str">
            <v>-</v>
          </cell>
          <cell r="I91" t="str">
            <v>-</v>
          </cell>
          <cell r="J91" t="str">
            <v>-</v>
          </cell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>
            <v>13.8</v>
          </cell>
          <cell r="Y91">
            <v>14.6</v>
          </cell>
          <cell r="Z91">
            <v>14</v>
          </cell>
          <cell r="AA91">
            <v>13.7</v>
          </cell>
          <cell r="AB91">
            <v>13.3</v>
          </cell>
          <cell r="AC91">
            <v>13.6</v>
          </cell>
          <cell r="AD91">
            <v>13.9</v>
          </cell>
          <cell r="AE91">
            <v>13.8</v>
          </cell>
          <cell r="AF91">
            <v>14.1</v>
          </cell>
          <cell r="AG91">
            <v>13.9</v>
          </cell>
          <cell r="AH91">
            <v>2528</v>
          </cell>
          <cell r="AI91">
            <v>2670</v>
          </cell>
          <cell r="AJ91">
            <v>2563</v>
          </cell>
          <cell r="AK91">
            <v>2482</v>
          </cell>
          <cell r="AL91">
            <v>2429</v>
          </cell>
          <cell r="AM91">
            <v>2482</v>
          </cell>
          <cell r="AN91">
            <v>2535</v>
          </cell>
          <cell r="AO91">
            <v>2518</v>
          </cell>
          <cell r="AP91">
            <v>2571</v>
          </cell>
          <cell r="AQ91">
            <v>2535</v>
          </cell>
          <cell r="AR91" t="str">
            <v>23-27日</v>
          </cell>
          <cell r="AS91" t="str">
            <v>-</v>
          </cell>
          <cell r="AT91">
            <v>13</v>
          </cell>
          <cell r="AU91">
            <v>13.8</v>
          </cell>
          <cell r="AV91">
            <v>13.2</v>
          </cell>
          <cell r="AW91">
            <v>12.9</v>
          </cell>
          <cell r="AX91">
            <v>12.5</v>
          </cell>
          <cell r="AY91">
            <v>12.8</v>
          </cell>
          <cell r="AZ91">
            <v>13.1</v>
          </cell>
          <cell r="BA91">
            <v>13</v>
          </cell>
          <cell r="BB91">
            <v>13.3</v>
          </cell>
          <cell r="BC91">
            <v>13.1</v>
          </cell>
          <cell r="BD91">
            <v>2387</v>
          </cell>
          <cell r="BE91">
            <v>2529</v>
          </cell>
          <cell r="BF91">
            <v>2422</v>
          </cell>
          <cell r="BG91">
            <v>2341</v>
          </cell>
          <cell r="BH91">
            <v>2288</v>
          </cell>
          <cell r="BI91">
            <v>2341</v>
          </cell>
          <cell r="BJ91">
            <v>2394</v>
          </cell>
          <cell r="BK91">
            <v>2377</v>
          </cell>
          <cell r="BL91">
            <v>2430</v>
          </cell>
          <cell r="BM91">
            <v>2394</v>
          </cell>
          <cell r="BN91" t="str">
            <v>24-28日</v>
          </cell>
          <cell r="BO91" t="str">
            <v>-</v>
          </cell>
          <cell r="BP91">
            <v>10.6</v>
          </cell>
        </row>
        <row r="92">
          <cell r="A92" t="str">
            <v>MEM6</v>
          </cell>
          <cell r="B92" t="str">
            <v>-</v>
          </cell>
          <cell r="C92" t="str">
            <v>-</v>
          </cell>
          <cell r="D92" t="str">
            <v>-</v>
          </cell>
          <cell r="E92" t="str">
            <v>-</v>
          </cell>
          <cell r="F92" t="str">
            <v>-</v>
          </cell>
          <cell r="G92" t="str">
            <v>-</v>
          </cell>
          <cell r="H92" t="str">
            <v>-</v>
          </cell>
          <cell r="I92" t="str">
            <v>-</v>
          </cell>
          <cell r="J92" t="str">
            <v>-</v>
          </cell>
          <cell r="K92" t="str">
            <v>-</v>
          </cell>
          <cell r="L92" t="str">
            <v>-</v>
          </cell>
          <cell r="M92" t="str">
            <v>-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  <cell r="V92" t="str">
            <v>-</v>
          </cell>
          <cell r="W92" t="str">
            <v>-</v>
          </cell>
          <cell r="X92">
            <v>13.8</v>
          </cell>
          <cell r="Y92">
            <v>14.6</v>
          </cell>
          <cell r="Z92">
            <v>14</v>
          </cell>
          <cell r="AA92">
            <v>13.7</v>
          </cell>
          <cell r="AB92">
            <v>13.3</v>
          </cell>
          <cell r="AC92">
            <v>13.6</v>
          </cell>
          <cell r="AD92">
            <v>13.9</v>
          </cell>
          <cell r="AE92">
            <v>13.8</v>
          </cell>
          <cell r="AF92">
            <v>14.1</v>
          </cell>
          <cell r="AG92">
            <v>13.9</v>
          </cell>
          <cell r="AH92">
            <v>2528</v>
          </cell>
          <cell r="AI92">
            <v>2670</v>
          </cell>
          <cell r="AJ92">
            <v>2563</v>
          </cell>
          <cell r="AK92">
            <v>2482</v>
          </cell>
          <cell r="AL92">
            <v>2429</v>
          </cell>
          <cell r="AM92">
            <v>2482</v>
          </cell>
          <cell r="AN92">
            <v>2535</v>
          </cell>
          <cell r="AO92">
            <v>2518</v>
          </cell>
          <cell r="AP92">
            <v>2571</v>
          </cell>
          <cell r="AQ92">
            <v>2535</v>
          </cell>
          <cell r="AR92" t="str">
            <v>23-27日</v>
          </cell>
          <cell r="AS92" t="str">
            <v>-</v>
          </cell>
          <cell r="AT92">
            <v>13</v>
          </cell>
          <cell r="AU92">
            <v>13.8</v>
          </cell>
          <cell r="AV92">
            <v>13.2</v>
          </cell>
          <cell r="AW92">
            <v>12.9</v>
          </cell>
          <cell r="AX92">
            <v>12.5</v>
          </cell>
          <cell r="AY92">
            <v>12.8</v>
          </cell>
          <cell r="AZ92">
            <v>13.1</v>
          </cell>
          <cell r="BA92">
            <v>13</v>
          </cell>
          <cell r="BB92">
            <v>13.3</v>
          </cell>
          <cell r="BC92">
            <v>13.1</v>
          </cell>
          <cell r="BD92">
            <v>2387</v>
          </cell>
          <cell r="BE92">
            <v>2529</v>
          </cell>
          <cell r="BF92">
            <v>2422</v>
          </cell>
          <cell r="BG92">
            <v>2341</v>
          </cell>
          <cell r="BH92">
            <v>2288</v>
          </cell>
          <cell r="BI92">
            <v>2341</v>
          </cell>
          <cell r="BJ92">
            <v>2394</v>
          </cell>
          <cell r="BK92">
            <v>2377</v>
          </cell>
          <cell r="BL92">
            <v>2430</v>
          </cell>
          <cell r="BM92">
            <v>2394</v>
          </cell>
          <cell r="BN92" t="str">
            <v>24-28日</v>
          </cell>
          <cell r="BO92" t="str">
            <v>-</v>
          </cell>
          <cell r="BP92">
            <v>10.6</v>
          </cell>
        </row>
        <row r="93">
          <cell r="A93" t="str">
            <v>CLT2</v>
          </cell>
          <cell r="B93" t="str">
            <v>-</v>
          </cell>
          <cell r="C93" t="str">
            <v>-</v>
          </cell>
          <cell r="D93" t="str">
            <v>-</v>
          </cell>
          <cell r="E93" t="str">
            <v>-</v>
          </cell>
          <cell r="F93" t="str">
            <v>-</v>
          </cell>
          <cell r="G93" t="str">
            <v>-</v>
          </cell>
          <cell r="H93" t="str">
            <v>-</v>
          </cell>
          <cell r="I93" t="str">
            <v>-</v>
          </cell>
          <cell r="J93" t="str">
            <v>-</v>
          </cell>
          <cell r="K93" t="str">
            <v>-</v>
          </cell>
          <cell r="L93" t="str">
            <v>-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 t="str">
            <v>-</v>
          </cell>
          <cell r="X93">
            <v>14.5</v>
          </cell>
          <cell r="Y93">
            <v>15.3</v>
          </cell>
          <cell r="Z93">
            <v>14.7</v>
          </cell>
          <cell r="AA93">
            <v>14.4</v>
          </cell>
          <cell r="AB93">
            <v>14</v>
          </cell>
          <cell r="AC93">
            <v>14.3</v>
          </cell>
          <cell r="AD93">
            <v>14.6</v>
          </cell>
          <cell r="AE93">
            <v>14.5</v>
          </cell>
          <cell r="AF93">
            <v>14.8</v>
          </cell>
          <cell r="AG93">
            <v>14.6</v>
          </cell>
          <cell r="AH93">
            <v>2655</v>
          </cell>
          <cell r="AI93">
            <v>2797</v>
          </cell>
          <cell r="AJ93">
            <v>2690</v>
          </cell>
          <cell r="AK93">
            <v>2609</v>
          </cell>
          <cell r="AL93">
            <v>2556</v>
          </cell>
          <cell r="AM93">
            <v>2609</v>
          </cell>
          <cell r="AN93">
            <v>2662</v>
          </cell>
          <cell r="AO93">
            <v>2645</v>
          </cell>
          <cell r="AP93">
            <v>2698</v>
          </cell>
          <cell r="AQ93">
            <v>2662</v>
          </cell>
          <cell r="AR93" t="str">
            <v>21-25日</v>
          </cell>
          <cell r="AS93" t="str">
            <v>-</v>
          </cell>
          <cell r="AT93">
            <v>13.7</v>
          </cell>
          <cell r="AU93">
            <v>14.5</v>
          </cell>
          <cell r="AV93">
            <v>13.9</v>
          </cell>
          <cell r="AW93">
            <v>13.6</v>
          </cell>
          <cell r="AX93">
            <v>13.2</v>
          </cell>
          <cell r="AY93">
            <v>13.5</v>
          </cell>
          <cell r="AZ93">
            <v>13.8</v>
          </cell>
          <cell r="BA93">
            <v>13.7</v>
          </cell>
          <cell r="BB93">
            <v>14</v>
          </cell>
          <cell r="BC93">
            <v>13.8</v>
          </cell>
          <cell r="BD93">
            <v>2514</v>
          </cell>
          <cell r="BE93">
            <v>2656</v>
          </cell>
          <cell r="BF93">
            <v>2549</v>
          </cell>
          <cell r="BG93">
            <v>2468</v>
          </cell>
          <cell r="BH93">
            <v>2415</v>
          </cell>
          <cell r="BI93">
            <v>2468</v>
          </cell>
          <cell r="BJ93">
            <v>2521</v>
          </cell>
          <cell r="BK93">
            <v>2504</v>
          </cell>
          <cell r="BL93">
            <v>2557</v>
          </cell>
          <cell r="BM93">
            <v>2521</v>
          </cell>
          <cell r="BN93" t="str">
            <v>22-26日</v>
          </cell>
          <cell r="BO93" t="str">
            <v>-</v>
          </cell>
          <cell r="BP93">
            <v>11.3</v>
          </cell>
        </row>
        <row r="94">
          <cell r="A94" t="str">
            <v>TPA2</v>
          </cell>
          <cell r="B94" t="str">
            <v>-</v>
          </cell>
          <cell r="C94" t="str">
            <v>-</v>
          </cell>
          <cell r="D94" t="str">
            <v>-</v>
          </cell>
          <cell r="E94" t="str">
            <v>-</v>
          </cell>
          <cell r="F94" t="str">
            <v>-</v>
          </cell>
          <cell r="G94" t="str">
            <v>-</v>
          </cell>
          <cell r="H94" t="str">
            <v>-</v>
          </cell>
          <cell r="I94" t="str">
            <v>-</v>
          </cell>
          <cell r="J94" t="str">
            <v>-</v>
          </cell>
          <cell r="K94" t="str">
            <v>-</v>
          </cell>
          <cell r="L94" t="str">
            <v>-</v>
          </cell>
          <cell r="M94" t="str">
            <v>-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>
            <v>14.5</v>
          </cell>
          <cell r="Y94">
            <v>15.3</v>
          </cell>
          <cell r="Z94">
            <v>14.7</v>
          </cell>
          <cell r="AA94">
            <v>14.4</v>
          </cell>
          <cell r="AB94">
            <v>14</v>
          </cell>
          <cell r="AC94">
            <v>14.3</v>
          </cell>
          <cell r="AD94">
            <v>14.6</v>
          </cell>
          <cell r="AE94">
            <v>14.5</v>
          </cell>
          <cell r="AF94">
            <v>14.8</v>
          </cell>
          <cell r="AG94">
            <v>14.6</v>
          </cell>
          <cell r="AH94">
            <v>2655</v>
          </cell>
          <cell r="AI94">
            <v>2797</v>
          </cell>
          <cell r="AJ94">
            <v>2690</v>
          </cell>
          <cell r="AK94">
            <v>2609</v>
          </cell>
          <cell r="AL94">
            <v>2556</v>
          </cell>
          <cell r="AM94">
            <v>2609</v>
          </cell>
          <cell r="AN94">
            <v>2662</v>
          </cell>
          <cell r="AO94">
            <v>2645</v>
          </cell>
          <cell r="AP94">
            <v>2698</v>
          </cell>
          <cell r="AQ94">
            <v>2662</v>
          </cell>
          <cell r="AR94" t="str">
            <v>21-25日</v>
          </cell>
          <cell r="AS94" t="str">
            <v>-</v>
          </cell>
          <cell r="AT94">
            <v>13.7</v>
          </cell>
          <cell r="AU94">
            <v>14.5</v>
          </cell>
          <cell r="AV94">
            <v>13.9</v>
          </cell>
          <cell r="AW94">
            <v>13.6</v>
          </cell>
          <cell r="AX94">
            <v>13.2</v>
          </cell>
          <cell r="AY94">
            <v>13.5</v>
          </cell>
          <cell r="AZ94">
            <v>13.8</v>
          </cell>
          <cell r="BA94">
            <v>13.7</v>
          </cell>
          <cell r="BB94">
            <v>14</v>
          </cell>
          <cell r="BC94">
            <v>13.8</v>
          </cell>
          <cell r="BD94">
            <v>2514</v>
          </cell>
          <cell r="BE94">
            <v>2656</v>
          </cell>
          <cell r="BF94">
            <v>2549</v>
          </cell>
          <cell r="BG94">
            <v>2468</v>
          </cell>
          <cell r="BH94">
            <v>2415</v>
          </cell>
          <cell r="BI94">
            <v>2468</v>
          </cell>
          <cell r="BJ94">
            <v>2521</v>
          </cell>
          <cell r="BK94">
            <v>2504</v>
          </cell>
          <cell r="BL94">
            <v>2557</v>
          </cell>
          <cell r="BM94">
            <v>2521</v>
          </cell>
          <cell r="BN94" t="str">
            <v>22-26日</v>
          </cell>
          <cell r="BO94" t="str">
            <v>-</v>
          </cell>
          <cell r="BP94">
            <v>11.3</v>
          </cell>
        </row>
        <row r="95">
          <cell r="A95" t="str">
            <v>TPA3</v>
          </cell>
          <cell r="B95" t="str">
            <v>-</v>
          </cell>
          <cell r="C95" t="str">
            <v>-</v>
          </cell>
          <cell r="D95" t="str">
            <v>-</v>
          </cell>
          <cell r="E95" t="str">
            <v>-</v>
          </cell>
          <cell r="F95" t="str">
            <v>-</v>
          </cell>
          <cell r="G95" t="str">
            <v>-</v>
          </cell>
          <cell r="H95" t="str">
            <v>-</v>
          </cell>
          <cell r="I95" t="str">
            <v>-</v>
          </cell>
          <cell r="J95" t="str">
            <v>-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>
            <v>14.5</v>
          </cell>
          <cell r="Y95">
            <v>15.3</v>
          </cell>
          <cell r="Z95">
            <v>14.7</v>
          </cell>
          <cell r="AA95">
            <v>14.4</v>
          </cell>
          <cell r="AB95">
            <v>14</v>
          </cell>
          <cell r="AC95">
            <v>14.3</v>
          </cell>
          <cell r="AD95">
            <v>14.6</v>
          </cell>
          <cell r="AE95">
            <v>14.5</v>
          </cell>
          <cell r="AF95">
            <v>14.8</v>
          </cell>
          <cell r="AG95">
            <v>14.6</v>
          </cell>
          <cell r="AH95">
            <v>2655</v>
          </cell>
          <cell r="AI95">
            <v>2797</v>
          </cell>
          <cell r="AJ95">
            <v>2690</v>
          </cell>
          <cell r="AK95">
            <v>2609</v>
          </cell>
          <cell r="AL95">
            <v>2556</v>
          </cell>
          <cell r="AM95">
            <v>2609</v>
          </cell>
          <cell r="AN95">
            <v>2662</v>
          </cell>
          <cell r="AO95">
            <v>2645</v>
          </cell>
          <cell r="AP95">
            <v>2698</v>
          </cell>
          <cell r="AQ95">
            <v>2662</v>
          </cell>
          <cell r="AR95" t="str">
            <v>21-25日</v>
          </cell>
          <cell r="AS95" t="str">
            <v>-</v>
          </cell>
          <cell r="AT95">
            <v>13.7</v>
          </cell>
          <cell r="AU95">
            <v>14.5</v>
          </cell>
          <cell r="AV95">
            <v>13.9</v>
          </cell>
          <cell r="AW95">
            <v>13.6</v>
          </cell>
          <cell r="AX95">
            <v>13.2</v>
          </cell>
          <cell r="AY95">
            <v>13.5</v>
          </cell>
          <cell r="AZ95">
            <v>13.8</v>
          </cell>
          <cell r="BA95">
            <v>13.7</v>
          </cell>
          <cell r="BB95">
            <v>14</v>
          </cell>
          <cell r="BC95">
            <v>13.8</v>
          </cell>
          <cell r="BD95">
            <v>2514</v>
          </cell>
          <cell r="BE95">
            <v>2656</v>
          </cell>
          <cell r="BF95">
            <v>2549</v>
          </cell>
          <cell r="BG95">
            <v>2468</v>
          </cell>
          <cell r="BH95">
            <v>2415</v>
          </cell>
          <cell r="BI95">
            <v>2468</v>
          </cell>
          <cell r="BJ95">
            <v>2521</v>
          </cell>
          <cell r="BK95">
            <v>2504</v>
          </cell>
          <cell r="BL95">
            <v>2557</v>
          </cell>
          <cell r="BM95">
            <v>2521</v>
          </cell>
          <cell r="BN95" t="str">
            <v>22-26日</v>
          </cell>
          <cell r="BO95" t="str">
            <v>-</v>
          </cell>
          <cell r="BP95">
            <v>11.3</v>
          </cell>
        </row>
        <row r="96">
          <cell r="A96" t="str">
            <v>RDU2</v>
          </cell>
          <cell r="B96" t="str">
            <v>-</v>
          </cell>
          <cell r="C96" t="str">
            <v>-</v>
          </cell>
          <cell r="D96" t="str">
            <v>-</v>
          </cell>
          <cell r="E96" t="str">
            <v>-</v>
          </cell>
          <cell r="F96" t="str">
            <v>-</v>
          </cell>
          <cell r="G96" t="str">
            <v>-</v>
          </cell>
          <cell r="H96" t="str">
            <v>-</v>
          </cell>
          <cell r="I96" t="str">
            <v>-</v>
          </cell>
          <cell r="J96" t="str">
            <v>-</v>
          </cell>
          <cell r="K96" t="str">
            <v>-</v>
          </cell>
          <cell r="L96" t="str">
            <v>-</v>
          </cell>
          <cell r="M96" t="str">
            <v>-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>
            <v>14.5</v>
          </cell>
          <cell r="Y96">
            <v>15.3</v>
          </cell>
          <cell r="Z96">
            <v>14.7</v>
          </cell>
          <cell r="AA96">
            <v>14.4</v>
          </cell>
          <cell r="AB96">
            <v>14</v>
          </cell>
          <cell r="AC96">
            <v>14.3</v>
          </cell>
          <cell r="AD96">
            <v>14.6</v>
          </cell>
          <cell r="AE96">
            <v>14.5</v>
          </cell>
          <cell r="AF96">
            <v>14.8</v>
          </cell>
          <cell r="AG96">
            <v>14.6</v>
          </cell>
          <cell r="AH96">
            <v>2655</v>
          </cell>
          <cell r="AI96">
            <v>2797</v>
          </cell>
          <cell r="AJ96">
            <v>2690</v>
          </cell>
          <cell r="AK96">
            <v>2609</v>
          </cell>
          <cell r="AL96">
            <v>2556</v>
          </cell>
          <cell r="AM96">
            <v>2609</v>
          </cell>
          <cell r="AN96">
            <v>2662</v>
          </cell>
          <cell r="AO96">
            <v>2645</v>
          </cell>
          <cell r="AP96">
            <v>2698</v>
          </cell>
          <cell r="AQ96">
            <v>2662</v>
          </cell>
          <cell r="AR96" t="str">
            <v>21-25日</v>
          </cell>
          <cell r="AS96" t="str">
            <v>-</v>
          </cell>
          <cell r="AT96">
            <v>13.7</v>
          </cell>
          <cell r="AU96">
            <v>14.5</v>
          </cell>
          <cell r="AV96">
            <v>13.9</v>
          </cell>
          <cell r="AW96">
            <v>13.6</v>
          </cell>
          <cell r="AX96">
            <v>13.2</v>
          </cell>
          <cell r="AY96">
            <v>13.5</v>
          </cell>
          <cell r="AZ96">
            <v>13.8</v>
          </cell>
          <cell r="BA96">
            <v>13.7</v>
          </cell>
          <cell r="BB96">
            <v>14</v>
          </cell>
          <cell r="BC96">
            <v>13.8</v>
          </cell>
          <cell r="BD96">
            <v>2514</v>
          </cell>
          <cell r="BE96">
            <v>2656</v>
          </cell>
          <cell r="BF96">
            <v>2549</v>
          </cell>
          <cell r="BG96">
            <v>2468</v>
          </cell>
          <cell r="BH96">
            <v>2415</v>
          </cell>
          <cell r="BI96">
            <v>2468</v>
          </cell>
          <cell r="BJ96">
            <v>2521</v>
          </cell>
          <cell r="BK96">
            <v>2504</v>
          </cell>
          <cell r="BL96">
            <v>2557</v>
          </cell>
          <cell r="BM96">
            <v>2521</v>
          </cell>
          <cell r="BN96" t="str">
            <v>22-26日</v>
          </cell>
          <cell r="BO96" t="str">
            <v>-</v>
          </cell>
          <cell r="BP96">
            <v>11.3</v>
          </cell>
        </row>
        <row r="97">
          <cell r="A97" t="str">
            <v>MCO2</v>
          </cell>
          <cell r="B97" t="str">
            <v>-</v>
          </cell>
          <cell r="C97" t="str">
            <v>-</v>
          </cell>
          <cell r="D97" t="str">
            <v>-</v>
          </cell>
          <cell r="E97" t="str">
            <v>-</v>
          </cell>
          <cell r="F97" t="str">
            <v>-</v>
          </cell>
          <cell r="G97" t="str">
            <v>-</v>
          </cell>
          <cell r="H97" t="str">
            <v>-</v>
          </cell>
          <cell r="I97" t="str">
            <v>-</v>
          </cell>
          <cell r="J97" t="str">
            <v>-</v>
          </cell>
          <cell r="K97" t="str">
            <v>-</v>
          </cell>
          <cell r="L97" t="str">
            <v>-</v>
          </cell>
          <cell r="M97" t="str">
            <v>-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  <cell r="V97" t="str">
            <v>-</v>
          </cell>
          <cell r="W97" t="str">
            <v>-</v>
          </cell>
          <cell r="X97">
            <v>14.5</v>
          </cell>
          <cell r="Y97">
            <v>15.3</v>
          </cell>
          <cell r="Z97">
            <v>14.7</v>
          </cell>
          <cell r="AA97">
            <v>14.4</v>
          </cell>
          <cell r="AB97">
            <v>14</v>
          </cell>
          <cell r="AC97">
            <v>14.3</v>
          </cell>
          <cell r="AD97">
            <v>14.6</v>
          </cell>
          <cell r="AE97">
            <v>14.5</v>
          </cell>
          <cell r="AF97">
            <v>14.8</v>
          </cell>
          <cell r="AG97">
            <v>14.6</v>
          </cell>
          <cell r="AH97">
            <v>2655</v>
          </cell>
          <cell r="AI97">
            <v>2797</v>
          </cell>
          <cell r="AJ97">
            <v>2690</v>
          </cell>
          <cell r="AK97">
            <v>2609</v>
          </cell>
          <cell r="AL97">
            <v>2556</v>
          </cell>
          <cell r="AM97">
            <v>2609</v>
          </cell>
          <cell r="AN97">
            <v>2662</v>
          </cell>
          <cell r="AO97">
            <v>2645</v>
          </cell>
          <cell r="AP97">
            <v>2698</v>
          </cell>
          <cell r="AQ97">
            <v>2662</v>
          </cell>
          <cell r="AR97" t="str">
            <v>21-25日</v>
          </cell>
          <cell r="AS97" t="str">
            <v>-</v>
          </cell>
          <cell r="AT97">
            <v>13.7</v>
          </cell>
          <cell r="AU97">
            <v>14.5</v>
          </cell>
          <cell r="AV97">
            <v>13.9</v>
          </cell>
          <cell r="AW97">
            <v>13.6</v>
          </cell>
          <cell r="AX97">
            <v>13.2</v>
          </cell>
          <cell r="AY97">
            <v>13.5</v>
          </cell>
          <cell r="AZ97">
            <v>13.8</v>
          </cell>
          <cell r="BA97">
            <v>13.7</v>
          </cell>
          <cell r="BB97">
            <v>14</v>
          </cell>
          <cell r="BC97">
            <v>13.8</v>
          </cell>
          <cell r="BD97">
            <v>2514</v>
          </cell>
          <cell r="BE97">
            <v>2656</v>
          </cell>
          <cell r="BF97">
            <v>2549</v>
          </cell>
          <cell r="BG97">
            <v>2468</v>
          </cell>
          <cell r="BH97">
            <v>2415</v>
          </cell>
          <cell r="BI97">
            <v>2468</v>
          </cell>
          <cell r="BJ97">
            <v>2521</v>
          </cell>
          <cell r="BK97">
            <v>2504</v>
          </cell>
          <cell r="BL97">
            <v>2557</v>
          </cell>
          <cell r="BM97">
            <v>2521</v>
          </cell>
          <cell r="BN97" t="str">
            <v>22-26日</v>
          </cell>
          <cell r="BO97" t="str">
            <v>-</v>
          </cell>
          <cell r="BP97">
            <v>11.3</v>
          </cell>
        </row>
        <row r="98">
          <cell r="A98" t="str">
            <v>RMN3</v>
          </cell>
          <cell r="B98" t="str">
            <v>-</v>
          </cell>
          <cell r="C98" t="str">
            <v>-</v>
          </cell>
          <cell r="D98" t="str">
            <v>-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-</v>
          </cell>
          <cell r="I98" t="str">
            <v>-</v>
          </cell>
          <cell r="J98" t="str">
            <v>-</v>
          </cell>
          <cell r="K98" t="str">
            <v>-</v>
          </cell>
          <cell r="L98" t="str">
            <v>-</v>
          </cell>
          <cell r="M98" t="str">
            <v>-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  <cell r="V98" t="str">
            <v>-</v>
          </cell>
          <cell r="W98" t="str">
            <v>-</v>
          </cell>
          <cell r="X98">
            <v>14.5</v>
          </cell>
          <cell r="Y98">
            <v>15.3</v>
          </cell>
          <cell r="Z98">
            <v>14.7</v>
          </cell>
          <cell r="AA98">
            <v>14.4</v>
          </cell>
          <cell r="AB98">
            <v>14</v>
          </cell>
          <cell r="AC98">
            <v>14.3</v>
          </cell>
          <cell r="AD98">
            <v>14.6</v>
          </cell>
          <cell r="AE98">
            <v>14.5</v>
          </cell>
          <cell r="AF98">
            <v>14.8</v>
          </cell>
          <cell r="AG98">
            <v>14.6</v>
          </cell>
          <cell r="AH98">
            <v>2655</v>
          </cell>
          <cell r="AI98">
            <v>2797</v>
          </cell>
          <cell r="AJ98">
            <v>2690</v>
          </cell>
          <cell r="AK98">
            <v>2609</v>
          </cell>
          <cell r="AL98">
            <v>2556</v>
          </cell>
          <cell r="AM98">
            <v>2609</v>
          </cell>
          <cell r="AN98">
            <v>2662</v>
          </cell>
          <cell r="AO98">
            <v>2645</v>
          </cell>
          <cell r="AP98">
            <v>2698</v>
          </cell>
          <cell r="AQ98">
            <v>2662</v>
          </cell>
          <cell r="AR98" t="str">
            <v>21-25日</v>
          </cell>
          <cell r="AS98" t="str">
            <v>-</v>
          </cell>
          <cell r="AT98">
            <v>13.7</v>
          </cell>
          <cell r="AU98">
            <v>14.5</v>
          </cell>
          <cell r="AV98">
            <v>13.9</v>
          </cell>
          <cell r="AW98">
            <v>13.6</v>
          </cell>
          <cell r="AX98">
            <v>13.2</v>
          </cell>
          <cell r="AY98">
            <v>13.5</v>
          </cell>
          <cell r="AZ98">
            <v>13.8</v>
          </cell>
          <cell r="BA98">
            <v>13.7</v>
          </cell>
          <cell r="BB98">
            <v>14</v>
          </cell>
          <cell r="BC98">
            <v>13.8</v>
          </cell>
          <cell r="BD98">
            <v>2514</v>
          </cell>
          <cell r="BE98">
            <v>2656</v>
          </cell>
          <cell r="BF98">
            <v>2549</v>
          </cell>
          <cell r="BG98">
            <v>2468</v>
          </cell>
          <cell r="BH98">
            <v>2415</v>
          </cell>
          <cell r="BI98">
            <v>2468</v>
          </cell>
          <cell r="BJ98">
            <v>2521</v>
          </cell>
          <cell r="BK98">
            <v>2504</v>
          </cell>
          <cell r="BL98">
            <v>2557</v>
          </cell>
          <cell r="BM98">
            <v>2521</v>
          </cell>
          <cell r="BN98" t="str">
            <v>22-26日</v>
          </cell>
          <cell r="BO98" t="str">
            <v>-</v>
          </cell>
          <cell r="BP98">
            <v>11.3</v>
          </cell>
        </row>
        <row r="99">
          <cell r="A99" t="str">
            <v>ABE8</v>
          </cell>
          <cell r="B99" t="str">
            <v>-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  <cell r="I99" t="str">
            <v>-</v>
          </cell>
          <cell r="J99" t="str">
            <v>-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 t="str">
            <v>-</v>
          </cell>
          <cell r="X99">
            <v>14.7</v>
          </cell>
          <cell r="Y99">
            <v>15.5</v>
          </cell>
          <cell r="Z99">
            <v>14.9</v>
          </cell>
          <cell r="AA99">
            <v>14.6</v>
          </cell>
          <cell r="AB99">
            <v>14.2</v>
          </cell>
          <cell r="AC99">
            <v>14.5</v>
          </cell>
          <cell r="AD99">
            <v>14.8</v>
          </cell>
          <cell r="AE99">
            <v>14.7</v>
          </cell>
          <cell r="AF99">
            <v>15</v>
          </cell>
          <cell r="AG99">
            <v>14.8</v>
          </cell>
          <cell r="AH99">
            <v>2683</v>
          </cell>
          <cell r="AI99">
            <v>2825</v>
          </cell>
          <cell r="AJ99">
            <v>2718</v>
          </cell>
          <cell r="AK99">
            <v>2637</v>
          </cell>
          <cell r="AL99">
            <v>2584</v>
          </cell>
          <cell r="AM99">
            <v>2637</v>
          </cell>
          <cell r="AN99">
            <v>2690</v>
          </cell>
          <cell r="AO99">
            <v>2673</v>
          </cell>
          <cell r="AP99">
            <v>2726</v>
          </cell>
          <cell r="AQ99">
            <v>2690</v>
          </cell>
          <cell r="AR99" t="str">
            <v>28-32日</v>
          </cell>
          <cell r="AS99" t="str">
            <v>-</v>
          </cell>
          <cell r="AT99">
            <v>13.9</v>
          </cell>
          <cell r="AU99">
            <v>14.7</v>
          </cell>
          <cell r="AV99">
            <v>14.1</v>
          </cell>
          <cell r="AW99">
            <v>13.8</v>
          </cell>
          <cell r="AX99">
            <v>13.4</v>
          </cell>
          <cell r="AY99">
            <v>13.7</v>
          </cell>
          <cell r="AZ99">
            <v>14</v>
          </cell>
          <cell r="BA99">
            <v>13.9</v>
          </cell>
          <cell r="BB99">
            <v>14.2</v>
          </cell>
          <cell r="BC99">
            <v>14</v>
          </cell>
          <cell r="BD99">
            <v>2542</v>
          </cell>
          <cell r="BE99">
            <v>2684</v>
          </cell>
          <cell r="BF99">
            <v>2577</v>
          </cell>
          <cell r="BG99">
            <v>2496</v>
          </cell>
          <cell r="BH99">
            <v>2443</v>
          </cell>
          <cell r="BI99">
            <v>2496</v>
          </cell>
          <cell r="BJ99">
            <v>2549</v>
          </cell>
          <cell r="BK99">
            <v>2532</v>
          </cell>
          <cell r="BL99">
            <v>2585</v>
          </cell>
          <cell r="BM99">
            <v>2549</v>
          </cell>
          <cell r="BN99" t="str">
            <v>29-33日</v>
          </cell>
          <cell r="BO99" t="str">
            <v>-</v>
          </cell>
          <cell r="BP99">
            <v>11.5</v>
          </cell>
        </row>
        <row r="100">
          <cell r="A100" t="str">
            <v>TEB9</v>
          </cell>
          <cell r="B100" t="str">
            <v>-</v>
          </cell>
          <cell r="C100" t="str">
            <v>-</v>
          </cell>
          <cell r="D100" t="str">
            <v>-</v>
          </cell>
          <cell r="E100" t="str">
            <v>-</v>
          </cell>
          <cell r="F100" t="str">
            <v>-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>
            <v>14.7</v>
          </cell>
          <cell r="Y100">
            <v>15.5</v>
          </cell>
          <cell r="Z100">
            <v>14.9</v>
          </cell>
          <cell r="AA100">
            <v>14.6</v>
          </cell>
          <cell r="AB100">
            <v>14.2</v>
          </cell>
          <cell r="AC100">
            <v>14.5</v>
          </cell>
          <cell r="AD100">
            <v>14.8</v>
          </cell>
          <cell r="AE100">
            <v>14.7</v>
          </cell>
          <cell r="AF100">
            <v>15</v>
          </cell>
          <cell r="AG100">
            <v>14.8</v>
          </cell>
          <cell r="AH100">
            <v>2683</v>
          </cell>
          <cell r="AI100">
            <v>2825</v>
          </cell>
          <cell r="AJ100">
            <v>2718</v>
          </cell>
          <cell r="AK100">
            <v>2637</v>
          </cell>
          <cell r="AL100">
            <v>2584</v>
          </cell>
          <cell r="AM100">
            <v>2637</v>
          </cell>
          <cell r="AN100">
            <v>2690</v>
          </cell>
          <cell r="AO100">
            <v>2673</v>
          </cell>
          <cell r="AP100">
            <v>2726</v>
          </cell>
          <cell r="AQ100">
            <v>2690</v>
          </cell>
          <cell r="AR100" t="str">
            <v>28-32日</v>
          </cell>
          <cell r="AS100" t="str">
            <v>-</v>
          </cell>
          <cell r="AT100">
            <v>13.9</v>
          </cell>
          <cell r="AU100">
            <v>14.7</v>
          </cell>
          <cell r="AV100">
            <v>14.1</v>
          </cell>
          <cell r="AW100">
            <v>13.8</v>
          </cell>
          <cell r="AX100">
            <v>13.4</v>
          </cell>
          <cell r="AY100">
            <v>13.7</v>
          </cell>
          <cell r="AZ100">
            <v>14</v>
          </cell>
          <cell r="BA100">
            <v>13.9</v>
          </cell>
          <cell r="BB100">
            <v>14.2</v>
          </cell>
          <cell r="BC100">
            <v>14</v>
          </cell>
          <cell r="BD100">
            <v>2542</v>
          </cell>
          <cell r="BE100">
            <v>2684</v>
          </cell>
          <cell r="BF100">
            <v>2577</v>
          </cell>
          <cell r="BG100">
            <v>2496</v>
          </cell>
          <cell r="BH100">
            <v>2443</v>
          </cell>
          <cell r="BI100">
            <v>2496</v>
          </cell>
          <cell r="BJ100">
            <v>2549</v>
          </cell>
          <cell r="BK100">
            <v>2532</v>
          </cell>
          <cell r="BL100">
            <v>2585</v>
          </cell>
          <cell r="BM100">
            <v>2549</v>
          </cell>
          <cell r="BN100" t="str">
            <v>29-33日</v>
          </cell>
          <cell r="BO100" t="str">
            <v>-</v>
          </cell>
          <cell r="BP100">
            <v>11.5</v>
          </cell>
        </row>
        <row r="101">
          <cell r="A101" t="str">
            <v>AVP1</v>
          </cell>
          <cell r="B101" t="str">
            <v>-</v>
          </cell>
          <cell r="C101" t="str">
            <v>-</v>
          </cell>
          <cell r="D101" t="str">
            <v>-</v>
          </cell>
          <cell r="E101" t="str">
            <v>-</v>
          </cell>
          <cell r="F101" t="str">
            <v>-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>
            <v>14.7</v>
          </cell>
          <cell r="Y101">
            <v>15.5</v>
          </cell>
          <cell r="Z101">
            <v>14.9</v>
          </cell>
          <cell r="AA101">
            <v>14.6</v>
          </cell>
          <cell r="AB101">
            <v>14.2</v>
          </cell>
          <cell r="AC101">
            <v>14.5</v>
          </cell>
          <cell r="AD101">
            <v>14.8</v>
          </cell>
          <cell r="AE101">
            <v>14.7</v>
          </cell>
          <cell r="AF101">
            <v>15</v>
          </cell>
          <cell r="AG101">
            <v>14.8</v>
          </cell>
          <cell r="AH101">
            <v>2683</v>
          </cell>
          <cell r="AI101">
            <v>2825</v>
          </cell>
          <cell r="AJ101">
            <v>2718</v>
          </cell>
          <cell r="AK101">
            <v>2637</v>
          </cell>
          <cell r="AL101">
            <v>2584</v>
          </cell>
          <cell r="AM101">
            <v>2637</v>
          </cell>
          <cell r="AN101">
            <v>2690</v>
          </cell>
          <cell r="AO101">
            <v>2673</v>
          </cell>
          <cell r="AP101">
            <v>2726</v>
          </cell>
          <cell r="AQ101">
            <v>2690</v>
          </cell>
          <cell r="AR101" t="str">
            <v>28-32日</v>
          </cell>
          <cell r="AS101" t="str">
            <v>-</v>
          </cell>
          <cell r="AT101">
            <v>13.9</v>
          </cell>
          <cell r="AU101">
            <v>14.7</v>
          </cell>
          <cell r="AV101">
            <v>14.1</v>
          </cell>
          <cell r="AW101">
            <v>13.8</v>
          </cell>
          <cell r="AX101">
            <v>13.4</v>
          </cell>
          <cell r="AY101">
            <v>13.7</v>
          </cell>
          <cell r="AZ101">
            <v>14</v>
          </cell>
          <cell r="BA101">
            <v>13.9</v>
          </cell>
          <cell r="BB101">
            <v>14.2</v>
          </cell>
          <cell r="BC101">
            <v>14</v>
          </cell>
          <cell r="BD101">
            <v>2542</v>
          </cell>
          <cell r="BE101">
            <v>2684</v>
          </cell>
          <cell r="BF101">
            <v>2577</v>
          </cell>
          <cell r="BG101">
            <v>2496</v>
          </cell>
          <cell r="BH101">
            <v>2443</v>
          </cell>
          <cell r="BI101">
            <v>2496</v>
          </cell>
          <cell r="BJ101">
            <v>2549</v>
          </cell>
          <cell r="BK101">
            <v>2532</v>
          </cell>
          <cell r="BL101">
            <v>2585</v>
          </cell>
          <cell r="BM101">
            <v>2549</v>
          </cell>
          <cell r="BN101" t="str">
            <v>29-33日</v>
          </cell>
          <cell r="BO101" t="str">
            <v>-</v>
          </cell>
          <cell r="BP101">
            <v>11.5</v>
          </cell>
        </row>
        <row r="102">
          <cell r="A102" t="str">
            <v>ACY2</v>
          </cell>
          <cell r="B102" t="str">
            <v>-</v>
          </cell>
          <cell r="C102" t="str">
            <v>-</v>
          </cell>
          <cell r="D102" t="str">
            <v>-</v>
          </cell>
          <cell r="E102" t="str">
            <v>-</v>
          </cell>
          <cell r="F102" t="str">
            <v>-</v>
          </cell>
          <cell r="G102" t="str">
            <v>-</v>
          </cell>
          <cell r="H102" t="str">
            <v>-</v>
          </cell>
          <cell r="I102" t="str">
            <v>-</v>
          </cell>
          <cell r="J102" t="str">
            <v>-</v>
          </cell>
          <cell r="K102" t="str">
            <v>-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>
            <v>14.7</v>
          </cell>
          <cell r="Y102">
            <v>15.5</v>
          </cell>
          <cell r="Z102">
            <v>14.9</v>
          </cell>
          <cell r="AA102">
            <v>14.6</v>
          </cell>
          <cell r="AB102">
            <v>14.2</v>
          </cell>
          <cell r="AC102">
            <v>14.5</v>
          </cell>
          <cell r="AD102">
            <v>14.8</v>
          </cell>
          <cell r="AE102">
            <v>14.7</v>
          </cell>
          <cell r="AF102">
            <v>15</v>
          </cell>
          <cell r="AG102">
            <v>14.8</v>
          </cell>
          <cell r="AH102">
            <v>2683</v>
          </cell>
          <cell r="AI102">
            <v>2825</v>
          </cell>
          <cell r="AJ102">
            <v>2718</v>
          </cell>
          <cell r="AK102">
            <v>2637</v>
          </cell>
          <cell r="AL102">
            <v>2584</v>
          </cell>
          <cell r="AM102">
            <v>2637</v>
          </cell>
          <cell r="AN102">
            <v>2690</v>
          </cell>
          <cell r="AO102">
            <v>2673</v>
          </cell>
          <cell r="AP102">
            <v>2726</v>
          </cell>
          <cell r="AQ102">
            <v>2690</v>
          </cell>
          <cell r="AR102" t="str">
            <v>28-32日</v>
          </cell>
          <cell r="AS102" t="str">
            <v>-</v>
          </cell>
          <cell r="AT102">
            <v>13.9</v>
          </cell>
          <cell r="AU102">
            <v>14.7</v>
          </cell>
          <cell r="AV102">
            <v>14.1</v>
          </cell>
          <cell r="AW102">
            <v>13.8</v>
          </cell>
          <cell r="AX102">
            <v>13.4</v>
          </cell>
          <cell r="AY102">
            <v>13.7</v>
          </cell>
          <cell r="AZ102">
            <v>14</v>
          </cell>
          <cell r="BA102">
            <v>13.9</v>
          </cell>
          <cell r="BB102">
            <v>14.2</v>
          </cell>
          <cell r="BC102">
            <v>14</v>
          </cell>
          <cell r="BD102">
            <v>2542</v>
          </cell>
          <cell r="BE102">
            <v>2684</v>
          </cell>
          <cell r="BF102">
            <v>2577</v>
          </cell>
          <cell r="BG102">
            <v>2496</v>
          </cell>
          <cell r="BH102">
            <v>2443</v>
          </cell>
          <cell r="BI102">
            <v>2496</v>
          </cell>
          <cell r="BJ102">
            <v>2549</v>
          </cell>
          <cell r="BK102">
            <v>2532</v>
          </cell>
          <cell r="BL102">
            <v>2585</v>
          </cell>
          <cell r="BM102">
            <v>2549</v>
          </cell>
          <cell r="BN102" t="str">
            <v>29-33日</v>
          </cell>
          <cell r="BO102" t="str">
            <v>-</v>
          </cell>
          <cell r="BP102">
            <v>11.5</v>
          </cell>
        </row>
        <row r="103">
          <cell r="A103" t="str">
            <v>SWF1</v>
          </cell>
          <cell r="B103" t="str">
            <v>-</v>
          </cell>
          <cell r="C103" t="str">
            <v>-</v>
          </cell>
          <cell r="D103" t="str">
            <v>-</v>
          </cell>
          <cell r="E103" t="str">
            <v>-</v>
          </cell>
          <cell r="F103" t="str">
            <v>-</v>
          </cell>
          <cell r="G103" t="str">
            <v>-</v>
          </cell>
          <cell r="H103" t="str">
            <v>-</v>
          </cell>
          <cell r="I103" t="str">
            <v>-</v>
          </cell>
          <cell r="J103" t="str">
            <v>-</v>
          </cell>
          <cell r="K103" t="str">
            <v>-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>
            <v>14.7</v>
          </cell>
          <cell r="Y103">
            <v>15.5</v>
          </cell>
          <cell r="Z103">
            <v>14.9</v>
          </cell>
          <cell r="AA103">
            <v>14.6</v>
          </cell>
          <cell r="AB103">
            <v>14.2</v>
          </cell>
          <cell r="AC103">
            <v>14.5</v>
          </cell>
          <cell r="AD103">
            <v>14.8</v>
          </cell>
          <cell r="AE103">
            <v>14.7</v>
          </cell>
          <cell r="AF103">
            <v>15</v>
          </cell>
          <cell r="AG103">
            <v>14.8</v>
          </cell>
          <cell r="AH103">
            <v>2683</v>
          </cell>
          <cell r="AI103">
            <v>2825</v>
          </cell>
          <cell r="AJ103">
            <v>2718</v>
          </cell>
          <cell r="AK103">
            <v>2637</v>
          </cell>
          <cell r="AL103">
            <v>2584</v>
          </cell>
          <cell r="AM103">
            <v>2637</v>
          </cell>
          <cell r="AN103">
            <v>2690</v>
          </cell>
          <cell r="AO103">
            <v>2673</v>
          </cell>
          <cell r="AP103">
            <v>2726</v>
          </cell>
          <cell r="AQ103">
            <v>2690</v>
          </cell>
          <cell r="AR103" t="str">
            <v>28-32日</v>
          </cell>
          <cell r="AS103" t="str">
            <v>-</v>
          </cell>
          <cell r="AT103">
            <v>13.9</v>
          </cell>
          <cell r="AU103">
            <v>14.7</v>
          </cell>
          <cell r="AV103">
            <v>14.1</v>
          </cell>
          <cell r="AW103">
            <v>13.8</v>
          </cell>
          <cell r="AX103">
            <v>13.4</v>
          </cell>
          <cell r="AY103">
            <v>13.7</v>
          </cell>
          <cell r="AZ103">
            <v>14</v>
          </cell>
          <cell r="BA103">
            <v>13.9</v>
          </cell>
          <cell r="BB103">
            <v>14.2</v>
          </cell>
          <cell r="BC103">
            <v>14</v>
          </cell>
          <cell r="BD103">
            <v>2542</v>
          </cell>
          <cell r="BE103">
            <v>2684</v>
          </cell>
          <cell r="BF103">
            <v>2577</v>
          </cell>
          <cell r="BG103">
            <v>2496</v>
          </cell>
          <cell r="BH103">
            <v>2443</v>
          </cell>
          <cell r="BI103">
            <v>2496</v>
          </cell>
          <cell r="BJ103">
            <v>2549</v>
          </cell>
          <cell r="BK103">
            <v>2532</v>
          </cell>
          <cell r="BL103">
            <v>2585</v>
          </cell>
          <cell r="BM103">
            <v>2549</v>
          </cell>
          <cell r="BN103" t="str">
            <v>29-33日</v>
          </cell>
          <cell r="BO103" t="str">
            <v>-</v>
          </cell>
          <cell r="BP103">
            <v>11.5</v>
          </cell>
        </row>
        <row r="104">
          <cell r="A104" t="str">
            <v>SWF2</v>
          </cell>
          <cell r="B104" t="str">
            <v>-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  <cell r="I104" t="str">
            <v>-</v>
          </cell>
          <cell r="J104" t="str">
            <v>-</v>
          </cell>
          <cell r="K104" t="str">
            <v>-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>
            <v>14.7</v>
          </cell>
          <cell r="Y104">
            <v>15.5</v>
          </cell>
          <cell r="Z104">
            <v>14.9</v>
          </cell>
          <cell r="AA104">
            <v>14.6</v>
          </cell>
          <cell r="AB104">
            <v>14.2</v>
          </cell>
          <cell r="AC104">
            <v>14.5</v>
          </cell>
          <cell r="AD104">
            <v>14.8</v>
          </cell>
          <cell r="AE104">
            <v>14.7</v>
          </cell>
          <cell r="AF104">
            <v>15</v>
          </cell>
          <cell r="AG104">
            <v>14.8</v>
          </cell>
          <cell r="AH104">
            <v>2683</v>
          </cell>
          <cell r="AI104">
            <v>2825</v>
          </cell>
          <cell r="AJ104">
            <v>2718</v>
          </cell>
          <cell r="AK104">
            <v>2637</v>
          </cell>
          <cell r="AL104">
            <v>2584</v>
          </cell>
          <cell r="AM104">
            <v>2637</v>
          </cell>
          <cell r="AN104">
            <v>2690</v>
          </cell>
          <cell r="AO104">
            <v>2673</v>
          </cell>
          <cell r="AP104">
            <v>2726</v>
          </cell>
          <cell r="AQ104">
            <v>2690</v>
          </cell>
          <cell r="AR104" t="str">
            <v>28-32日</v>
          </cell>
          <cell r="AS104" t="str">
            <v>-</v>
          </cell>
          <cell r="AT104">
            <v>13.9</v>
          </cell>
          <cell r="AU104">
            <v>14.7</v>
          </cell>
          <cell r="AV104">
            <v>14.1</v>
          </cell>
          <cell r="AW104">
            <v>13.8</v>
          </cell>
          <cell r="AX104">
            <v>13.4</v>
          </cell>
          <cell r="AY104">
            <v>13.7</v>
          </cell>
          <cell r="AZ104">
            <v>14</v>
          </cell>
          <cell r="BA104">
            <v>13.9</v>
          </cell>
          <cell r="BB104">
            <v>14.2</v>
          </cell>
          <cell r="BC104">
            <v>14</v>
          </cell>
          <cell r="BD104">
            <v>2542</v>
          </cell>
          <cell r="BE104">
            <v>2684</v>
          </cell>
          <cell r="BF104">
            <v>2577</v>
          </cell>
          <cell r="BG104">
            <v>2496</v>
          </cell>
          <cell r="BH104">
            <v>2443</v>
          </cell>
          <cell r="BI104">
            <v>2496</v>
          </cell>
          <cell r="BJ104">
            <v>2549</v>
          </cell>
          <cell r="BK104">
            <v>2532</v>
          </cell>
          <cell r="BL104">
            <v>2585</v>
          </cell>
          <cell r="BM104">
            <v>2549</v>
          </cell>
          <cell r="BN104" t="str">
            <v>29-33日</v>
          </cell>
          <cell r="BO104" t="str">
            <v>-</v>
          </cell>
          <cell r="BP104">
            <v>11.5</v>
          </cell>
        </row>
        <row r="105">
          <cell r="A105" t="str">
            <v>ORF2</v>
          </cell>
          <cell r="B105" t="str">
            <v>-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  <cell r="I105" t="str">
            <v>-</v>
          </cell>
          <cell r="J105" t="str">
            <v>-</v>
          </cell>
          <cell r="K105" t="str">
            <v>-</v>
          </cell>
          <cell r="L105" t="str">
            <v>-</v>
          </cell>
          <cell r="M105" t="str">
            <v>-</v>
          </cell>
          <cell r="N105" t="str">
            <v>-</v>
          </cell>
          <cell r="O105" t="str">
            <v>-</v>
          </cell>
          <cell r="P105" t="str">
            <v>-</v>
          </cell>
          <cell r="Q105" t="str">
            <v>-</v>
          </cell>
          <cell r="R105" t="str">
            <v>-</v>
          </cell>
          <cell r="S105" t="str">
            <v>-</v>
          </cell>
          <cell r="T105" t="str">
            <v>-</v>
          </cell>
          <cell r="U105" t="str">
            <v>-</v>
          </cell>
          <cell r="V105" t="str">
            <v>-</v>
          </cell>
          <cell r="W105" t="str">
            <v>-</v>
          </cell>
          <cell r="X105">
            <v>14.7</v>
          </cell>
          <cell r="Y105">
            <v>15.5</v>
          </cell>
          <cell r="Z105">
            <v>14.9</v>
          </cell>
          <cell r="AA105">
            <v>14.6</v>
          </cell>
          <cell r="AB105">
            <v>14.2</v>
          </cell>
          <cell r="AC105">
            <v>14.5</v>
          </cell>
          <cell r="AD105">
            <v>14.8</v>
          </cell>
          <cell r="AE105">
            <v>14.7</v>
          </cell>
          <cell r="AF105">
            <v>15</v>
          </cell>
          <cell r="AG105">
            <v>14.8</v>
          </cell>
          <cell r="AH105">
            <v>2683</v>
          </cell>
          <cell r="AI105">
            <v>2825</v>
          </cell>
          <cell r="AJ105">
            <v>2718</v>
          </cell>
          <cell r="AK105">
            <v>2637</v>
          </cell>
          <cell r="AL105">
            <v>2584</v>
          </cell>
          <cell r="AM105">
            <v>2637</v>
          </cell>
          <cell r="AN105">
            <v>2690</v>
          </cell>
          <cell r="AO105">
            <v>2673</v>
          </cell>
          <cell r="AP105">
            <v>2726</v>
          </cell>
          <cell r="AQ105">
            <v>2690</v>
          </cell>
          <cell r="AR105" t="str">
            <v>28-32日</v>
          </cell>
          <cell r="AS105" t="str">
            <v>-</v>
          </cell>
          <cell r="AT105">
            <v>13.9</v>
          </cell>
          <cell r="AU105">
            <v>14.7</v>
          </cell>
          <cell r="AV105">
            <v>14.1</v>
          </cell>
          <cell r="AW105">
            <v>13.8</v>
          </cell>
          <cell r="AX105">
            <v>13.4</v>
          </cell>
          <cell r="AY105">
            <v>13.7</v>
          </cell>
          <cell r="AZ105">
            <v>14</v>
          </cell>
          <cell r="BA105">
            <v>13.9</v>
          </cell>
          <cell r="BB105">
            <v>14.2</v>
          </cell>
          <cell r="BC105">
            <v>14</v>
          </cell>
          <cell r="BD105">
            <v>2542</v>
          </cell>
          <cell r="BE105">
            <v>2684</v>
          </cell>
          <cell r="BF105">
            <v>2577</v>
          </cell>
          <cell r="BG105">
            <v>2496</v>
          </cell>
          <cell r="BH105">
            <v>2443</v>
          </cell>
          <cell r="BI105">
            <v>2496</v>
          </cell>
          <cell r="BJ105">
            <v>2549</v>
          </cell>
          <cell r="BK105">
            <v>2532</v>
          </cell>
          <cell r="BL105">
            <v>2585</v>
          </cell>
          <cell r="BM105">
            <v>2549</v>
          </cell>
          <cell r="BN105" t="str">
            <v>29-33日</v>
          </cell>
          <cell r="BO105" t="str">
            <v>-</v>
          </cell>
          <cell r="BP105">
            <v>11.5</v>
          </cell>
        </row>
        <row r="106">
          <cell r="A106" t="str">
            <v>ABE3</v>
          </cell>
          <cell r="B106" t="str">
            <v>-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  <cell r="I106" t="str">
            <v>-</v>
          </cell>
          <cell r="J106" t="str">
            <v>-</v>
          </cell>
          <cell r="K106" t="str">
            <v>-</v>
          </cell>
          <cell r="L106" t="str">
            <v>-</v>
          </cell>
          <cell r="M106" t="str">
            <v>-</v>
          </cell>
          <cell r="N106" t="str">
            <v>-</v>
          </cell>
          <cell r="O106" t="str">
            <v>-</v>
          </cell>
          <cell r="P106" t="str">
            <v>-</v>
          </cell>
          <cell r="Q106" t="str">
            <v>-</v>
          </cell>
          <cell r="R106" t="str">
            <v>-</v>
          </cell>
          <cell r="S106" t="str">
            <v>-</v>
          </cell>
          <cell r="T106" t="str">
            <v>-</v>
          </cell>
          <cell r="U106" t="str">
            <v>-</v>
          </cell>
          <cell r="V106" t="str">
            <v>-</v>
          </cell>
          <cell r="W106" t="str">
            <v>-</v>
          </cell>
          <cell r="X106">
            <v>14.7</v>
          </cell>
          <cell r="Y106">
            <v>15.5</v>
          </cell>
          <cell r="Z106">
            <v>14.9</v>
          </cell>
          <cell r="AA106">
            <v>14.6</v>
          </cell>
          <cell r="AB106">
            <v>14.2</v>
          </cell>
          <cell r="AC106">
            <v>14.5</v>
          </cell>
          <cell r="AD106">
            <v>14.8</v>
          </cell>
          <cell r="AE106">
            <v>14.7</v>
          </cell>
          <cell r="AF106">
            <v>15</v>
          </cell>
          <cell r="AG106">
            <v>14.8</v>
          </cell>
          <cell r="AH106">
            <v>2683</v>
          </cell>
          <cell r="AI106">
            <v>2825</v>
          </cell>
          <cell r="AJ106">
            <v>2718</v>
          </cell>
          <cell r="AK106">
            <v>2637</v>
          </cell>
          <cell r="AL106">
            <v>2584</v>
          </cell>
          <cell r="AM106">
            <v>2637</v>
          </cell>
          <cell r="AN106">
            <v>2690</v>
          </cell>
          <cell r="AO106">
            <v>2673</v>
          </cell>
          <cell r="AP106">
            <v>2726</v>
          </cell>
          <cell r="AQ106">
            <v>2690</v>
          </cell>
          <cell r="AR106" t="str">
            <v>28-32日</v>
          </cell>
          <cell r="AS106" t="str">
            <v>-</v>
          </cell>
          <cell r="AT106">
            <v>13.9</v>
          </cell>
          <cell r="AU106">
            <v>14.7</v>
          </cell>
          <cell r="AV106">
            <v>14.1</v>
          </cell>
          <cell r="AW106">
            <v>13.8</v>
          </cell>
          <cell r="AX106">
            <v>13.4</v>
          </cell>
          <cell r="AY106">
            <v>13.7</v>
          </cell>
          <cell r="AZ106">
            <v>14</v>
          </cell>
          <cell r="BA106">
            <v>13.9</v>
          </cell>
          <cell r="BB106">
            <v>14.2</v>
          </cell>
          <cell r="BC106">
            <v>14</v>
          </cell>
          <cell r="BD106">
            <v>2542</v>
          </cell>
          <cell r="BE106">
            <v>2684</v>
          </cell>
          <cell r="BF106">
            <v>2577</v>
          </cell>
          <cell r="BG106">
            <v>2496</v>
          </cell>
          <cell r="BH106">
            <v>2443</v>
          </cell>
          <cell r="BI106">
            <v>2496</v>
          </cell>
          <cell r="BJ106">
            <v>2549</v>
          </cell>
          <cell r="BK106">
            <v>2532</v>
          </cell>
          <cell r="BL106">
            <v>2585</v>
          </cell>
          <cell r="BM106">
            <v>2549</v>
          </cell>
          <cell r="BN106" t="str">
            <v>29-33日</v>
          </cell>
          <cell r="BO106" t="str">
            <v>-</v>
          </cell>
          <cell r="BP106">
            <v>11.5</v>
          </cell>
        </row>
        <row r="107">
          <cell r="A107" t="str">
            <v>ABE4</v>
          </cell>
          <cell r="B107" t="str">
            <v>-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  <cell r="I107" t="str">
            <v>-</v>
          </cell>
          <cell r="J107" t="str">
            <v>-</v>
          </cell>
          <cell r="K107" t="str">
            <v>-</v>
          </cell>
          <cell r="L107" t="str">
            <v>-</v>
          </cell>
          <cell r="M107" t="str">
            <v>-</v>
          </cell>
          <cell r="N107" t="str">
            <v>-</v>
          </cell>
          <cell r="O107" t="str">
            <v>-</v>
          </cell>
          <cell r="P107" t="str">
            <v>-</v>
          </cell>
          <cell r="Q107" t="str">
            <v>-</v>
          </cell>
          <cell r="R107" t="str">
            <v>-</v>
          </cell>
          <cell r="S107" t="str">
            <v>-</v>
          </cell>
          <cell r="T107" t="str">
            <v>-</v>
          </cell>
          <cell r="U107" t="str">
            <v>-</v>
          </cell>
          <cell r="V107" t="str">
            <v>-</v>
          </cell>
          <cell r="W107" t="str">
            <v>-</v>
          </cell>
          <cell r="X107">
            <v>14.7</v>
          </cell>
          <cell r="Y107">
            <v>15.5</v>
          </cell>
          <cell r="Z107">
            <v>14.9</v>
          </cell>
          <cell r="AA107">
            <v>14.6</v>
          </cell>
          <cell r="AB107">
            <v>14.2</v>
          </cell>
          <cell r="AC107">
            <v>14.5</v>
          </cell>
          <cell r="AD107">
            <v>14.8</v>
          </cell>
          <cell r="AE107">
            <v>14.7</v>
          </cell>
          <cell r="AF107">
            <v>15</v>
          </cell>
          <cell r="AG107">
            <v>14.8</v>
          </cell>
          <cell r="AH107">
            <v>2683</v>
          </cell>
          <cell r="AI107">
            <v>2825</v>
          </cell>
          <cell r="AJ107">
            <v>2718</v>
          </cell>
          <cell r="AK107">
            <v>2637</v>
          </cell>
          <cell r="AL107">
            <v>2584</v>
          </cell>
          <cell r="AM107">
            <v>2637</v>
          </cell>
          <cell r="AN107">
            <v>2690</v>
          </cell>
          <cell r="AO107">
            <v>2673</v>
          </cell>
          <cell r="AP107">
            <v>2726</v>
          </cell>
          <cell r="AQ107">
            <v>2690</v>
          </cell>
          <cell r="AR107" t="str">
            <v>28-32日</v>
          </cell>
          <cell r="AS107" t="str">
            <v>-</v>
          </cell>
          <cell r="AT107">
            <v>13.9</v>
          </cell>
          <cell r="AU107">
            <v>14.7</v>
          </cell>
          <cell r="AV107">
            <v>14.1</v>
          </cell>
          <cell r="AW107">
            <v>13.8</v>
          </cell>
          <cell r="AX107">
            <v>13.4</v>
          </cell>
          <cell r="AY107">
            <v>13.7</v>
          </cell>
          <cell r="AZ107">
            <v>14</v>
          </cell>
          <cell r="BA107">
            <v>13.9</v>
          </cell>
          <cell r="BB107">
            <v>14.2</v>
          </cell>
          <cell r="BC107">
            <v>14</v>
          </cell>
          <cell r="BD107">
            <v>2542</v>
          </cell>
          <cell r="BE107">
            <v>2684</v>
          </cell>
          <cell r="BF107">
            <v>2577</v>
          </cell>
          <cell r="BG107">
            <v>2496</v>
          </cell>
          <cell r="BH107">
            <v>2443</v>
          </cell>
          <cell r="BI107">
            <v>2496</v>
          </cell>
          <cell r="BJ107">
            <v>2549</v>
          </cell>
          <cell r="BK107">
            <v>2532</v>
          </cell>
          <cell r="BL107">
            <v>2585</v>
          </cell>
          <cell r="BM107">
            <v>2549</v>
          </cell>
          <cell r="BN107" t="str">
            <v>29-33日</v>
          </cell>
          <cell r="BO107" t="str">
            <v>-</v>
          </cell>
          <cell r="BP107">
            <v>11.5</v>
          </cell>
        </row>
        <row r="108">
          <cell r="A108" t="str">
            <v>TEB4</v>
          </cell>
          <cell r="B108" t="str">
            <v>-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  <cell r="I108" t="str">
            <v>-</v>
          </cell>
          <cell r="J108" t="str">
            <v>-</v>
          </cell>
          <cell r="K108" t="str">
            <v>-</v>
          </cell>
          <cell r="L108" t="str">
            <v>-</v>
          </cell>
          <cell r="M108" t="str">
            <v>-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>
            <v>14.7</v>
          </cell>
          <cell r="Y108">
            <v>15.5</v>
          </cell>
          <cell r="Z108">
            <v>14.9</v>
          </cell>
          <cell r="AA108">
            <v>14.6</v>
          </cell>
          <cell r="AB108">
            <v>14.2</v>
          </cell>
          <cell r="AC108">
            <v>14.5</v>
          </cell>
          <cell r="AD108">
            <v>14.8</v>
          </cell>
          <cell r="AE108">
            <v>14.7</v>
          </cell>
          <cell r="AF108">
            <v>15</v>
          </cell>
          <cell r="AG108">
            <v>14.8</v>
          </cell>
          <cell r="AH108">
            <v>2683</v>
          </cell>
          <cell r="AI108">
            <v>2825</v>
          </cell>
          <cell r="AJ108">
            <v>2718</v>
          </cell>
          <cell r="AK108">
            <v>2637</v>
          </cell>
          <cell r="AL108">
            <v>2584</v>
          </cell>
          <cell r="AM108">
            <v>2637</v>
          </cell>
          <cell r="AN108">
            <v>2690</v>
          </cell>
          <cell r="AO108">
            <v>2673</v>
          </cell>
          <cell r="AP108">
            <v>2726</v>
          </cell>
          <cell r="AQ108">
            <v>2690</v>
          </cell>
          <cell r="AR108" t="str">
            <v>28-32日</v>
          </cell>
          <cell r="AS108" t="str">
            <v>-</v>
          </cell>
          <cell r="AT108">
            <v>13.9</v>
          </cell>
          <cell r="AU108">
            <v>14.7</v>
          </cell>
          <cell r="AV108">
            <v>14.1</v>
          </cell>
          <cell r="AW108">
            <v>13.8</v>
          </cell>
          <cell r="AX108">
            <v>13.4</v>
          </cell>
          <cell r="AY108">
            <v>13.7</v>
          </cell>
          <cell r="AZ108">
            <v>14</v>
          </cell>
          <cell r="BA108">
            <v>13.9</v>
          </cell>
          <cell r="BB108">
            <v>14.2</v>
          </cell>
          <cell r="BC108">
            <v>14</v>
          </cell>
          <cell r="BD108">
            <v>2542</v>
          </cell>
          <cell r="BE108">
            <v>2684</v>
          </cell>
          <cell r="BF108">
            <v>2577</v>
          </cell>
          <cell r="BG108">
            <v>2496</v>
          </cell>
          <cell r="BH108">
            <v>2443</v>
          </cell>
          <cell r="BI108">
            <v>2496</v>
          </cell>
          <cell r="BJ108">
            <v>2549</v>
          </cell>
          <cell r="BK108">
            <v>2532</v>
          </cell>
          <cell r="BL108">
            <v>2585</v>
          </cell>
          <cell r="BM108">
            <v>2549</v>
          </cell>
          <cell r="BN108" t="str">
            <v>29-33日</v>
          </cell>
          <cell r="BO108" t="str">
            <v>-</v>
          </cell>
          <cell r="BP108">
            <v>11.5</v>
          </cell>
        </row>
        <row r="109">
          <cell r="A109" t="str">
            <v>SCK3</v>
          </cell>
          <cell r="B109" t="str">
            <v>-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  <cell r="I109" t="str">
            <v>-</v>
          </cell>
          <cell r="J109" t="str">
            <v>-</v>
          </cell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>
            <v>13.5</v>
          </cell>
          <cell r="Y109">
            <v>14.3</v>
          </cell>
          <cell r="Z109">
            <v>13.7</v>
          </cell>
          <cell r="AA109">
            <v>12.8</v>
          </cell>
          <cell r="AB109">
            <v>13</v>
          </cell>
          <cell r="AC109">
            <v>13.3</v>
          </cell>
          <cell r="AD109">
            <v>13.6</v>
          </cell>
          <cell r="AE109">
            <v>13.5</v>
          </cell>
          <cell r="AF109">
            <v>13.8</v>
          </cell>
          <cell r="AG109">
            <v>13.6</v>
          </cell>
          <cell r="AH109">
            <v>2328</v>
          </cell>
          <cell r="AI109">
            <v>2470</v>
          </cell>
          <cell r="AJ109">
            <v>2363</v>
          </cell>
          <cell r="AK109">
            <v>2292</v>
          </cell>
          <cell r="AL109">
            <v>2239</v>
          </cell>
          <cell r="AM109">
            <v>2292</v>
          </cell>
          <cell r="AN109">
            <v>2345</v>
          </cell>
          <cell r="AO109">
            <v>2328</v>
          </cell>
          <cell r="AP109">
            <v>2381</v>
          </cell>
          <cell r="AQ109">
            <v>2345</v>
          </cell>
          <cell r="AR109" t="str">
            <v>14-21日</v>
          </cell>
          <cell r="AS109" t="str">
            <v>-</v>
          </cell>
          <cell r="AT109">
            <v>12.7</v>
          </cell>
          <cell r="AU109">
            <v>13.5</v>
          </cell>
          <cell r="AV109">
            <v>12.9</v>
          </cell>
          <cell r="AW109">
            <v>12</v>
          </cell>
          <cell r="AX109">
            <v>12.2</v>
          </cell>
          <cell r="AY109">
            <v>12.5</v>
          </cell>
          <cell r="AZ109">
            <v>12.8</v>
          </cell>
          <cell r="BA109">
            <v>12.7</v>
          </cell>
          <cell r="BB109">
            <v>13</v>
          </cell>
          <cell r="BC109">
            <v>12.8</v>
          </cell>
          <cell r="BD109">
            <v>2187</v>
          </cell>
          <cell r="BE109">
            <v>2329</v>
          </cell>
          <cell r="BF109">
            <v>2222</v>
          </cell>
          <cell r="BG109">
            <v>2151</v>
          </cell>
          <cell r="BH109">
            <v>2098</v>
          </cell>
          <cell r="BI109">
            <v>2151</v>
          </cell>
          <cell r="BJ109">
            <v>2204</v>
          </cell>
          <cell r="BK109">
            <v>2187</v>
          </cell>
          <cell r="BL109">
            <v>2240</v>
          </cell>
          <cell r="BM109">
            <v>2204</v>
          </cell>
          <cell r="BN109" t="str">
            <v>15-22日</v>
          </cell>
          <cell r="BO109" t="str">
            <v>-</v>
          </cell>
          <cell r="BP109">
            <v>10.3</v>
          </cell>
        </row>
        <row r="110">
          <cell r="A110" t="str">
            <v>WM-SMF1</v>
          </cell>
          <cell r="B110" t="str">
            <v>-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  <cell r="I110" t="str">
            <v>-</v>
          </cell>
          <cell r="J110" t="str">
            <v>-</v>
          </cell>
          <cell r="K110" t="str">
            <v>-</v>
          </cell>
          <cell r="L110" t="str">
            <v>-</v>
          </cell>
          <cell r="M110" t="str">
            <v>-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>
            <v>12.9</v>
          </cell>
          <cell r="Y110">
            <v>13.7</v>
          </cell>
          <cell r="Z110">
            <v>13.1</v>
          </cell>
          <cell r="AA110">
            <v>12.8</v>
          </cell>
          <cell r="AB110">
            <v>12.4</v>
          </cell>
          <cell r="AC110">
            <v>12.7</v>
          </cell>
          <cell r="AD110">
            <v>13</v>
          </cell>
          <cell r="AE110">
            <v>12.9</v>
          </cell>
          <cell r="AF110">
            <v>13.2</v>
          </cell>
          <cell r="AG110">
            <v>13</v>
          </cell>
          <cell r="AH110">
            <v>2351</v>
          </cell>
          <cell r="AI110">
            <v>2493</v>
          </cell>
          <cell r="AJ110">
            <v>2386</v>
          </cell>
          <cell r="AK110">
            <v>2315</v>
          </cell>
          <cell r="AL110">
            <v>2262</v>
          </cell>
          <cell r="AM110">
            <v>2315</v>
          </cell>
          <cell r="AN110">
            <v>2368</v>
          </cell>
          <cell r="AO110">
            <v>2351</v>
          </cell>
          <cell r="AP110">
            <v>2404</v>
          </cell>
          <cell r="AQ110">
            <v>2368</v>
          </cell>
          <cell r="AR110" t="str">
            <v>18-20日</v>
          </cell>
          <cell r="AS110" t="str">
            <v>-</v>
          </cell>
          <cell r="AT110">
            <v>12.1</v>
          </cell>
          <cell r="AU110">
            <v>12.9</v>
          </cell>
          <cell r="AV110">
            <v>12.3</v>
          </cell>
          <cell r="AW110">
            <v>12</v>
          </cell>
          <cell r="AX110">
            <v>11.6</v>
          </cell>
          <cell r="AY110">
            <v>11.9</v>
          </cell>
          <cell r="AZ110">
            <v>12.2</v>
          </cell>
          <cell r="BA110">
            <v>12.1</v>
          </cell>
          <cell r="BB110">
            <v>12.4</v>
          </cell>
          <cell r="BC110">
            <v>12.2</v>
          </cell>
          <cell r="BD110">
            <v>2210</v>
          </cell>
          <cell r="BE110">
            <v>2352</v>
          </cell>
          <cell r="BF110">
            <v>2245</v>
          </cell>
          <cell r="BG110">
            <v>2174</v>
          </cell>
          <cell r="BH110">
            <v>2121</v>
          </cell>
          <cell r="BI110">
            <v>2174</v>
          </cell>
          <cell r="BJ110">
            <v>2227</v>
          </cell>
          <cell r="BK110">
            <v>2210</v>
          </cell>
          <cell r="BL110">
            <v>2263</v>
          </cell>
          <cell r="BM110">
            <v>2227</v>
          </cell>
          <cell r="BN110" t="str">
            <v>19-21日</v>
          </cell>
          <cell r="BO110" t="str">
            <v>-</v>
          </cell>
          <cell r="BP110">
            <v>9.9</v>
          </cell>
        </row>
        <row r="111">
          <cell r="A111" t="str">
            <v>WM-KS1</v>
          </cell>
          <cell r="B111" t="str">
            <v>-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  <cell r="I111" t="str">
            <v>-</v>
          </cell>
          <cell r="J111" t="str">
            <v>-</v>
          </cell>
          <cell r="K111" t="str">
            <v>-</v>
          </cell>
          <cell r="L111" t="str">
            <v>-</v>
          </cell>
          <cell r="M111" t="str">
            <v>-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>
            <v>16.5</v>
          </cell>
          <cell r="Y111">
            <v>17.3</v>
          </cell>
          <cell r="Z111">
            <v>16.7</v>
          </cell>
          <cell r="AA111">
            <v>16.4</v>
          </cell>
          <cell r="AB111">
            <v>16</v>
          </cell>
          <cell r="AC111">
            <v>16.3</v>
          </cell>
          <cell r="AD111">
            <v>16.6</v>
          </cell>
          <cell r="AE111">
            <v>16.5</v>
          </cell>
          <cell r="AF111">
            <v>16.8</v>
          </cell>
          <cell r="AG111">
            <v>16.6</v>
          </cell>
          <cell r="AH111">
            <v>2844</v>
          </cell>
          <cell r="AI111">
            <v>2986</v>
          </cell>
          <cell r="AJ111">
            <v>2879</v>
          </cell>
          <cell r="AK111">
            <v>2808</v>
          </cell>
          <cell r="AL111">
            <v>2755</v>
          </cell>
          <cell r="AM111">
            <v>2808</v>
          </cell>
          <cell r="AN111">
            <v>2861</v>
          </cell>
          <cell r="AO111">
            <v>2844</v>
          </cell>
          <cell r="AP111">
            <v>2897</v>
          </cell>
          <cell r="AQ111">
            <v>2861</v>
          </cell>
          <cell r="AR111" t="str">
            <v>18-20日</v>
          </cell>
          <cell r="AS111" t="str">
            <v>-</v>
          </cell>
          <cell r="AT111">
            <v>15.7</v>
          </cell>
          <cell r="AU111">
            <v>16.5</v>
          </cell>
          <cell r="AV111">
            <v>15.9</v>
          </cell>
          <cell r="AW111">
            <v>15.6</v>
          </cell>
          <cell r="AX111">
            <v>15.2</v>
          </cell>
          <cell r="AY111">
            <v>15.5</v>
          </cell>
          <cell r="AZ111">
            <v>15.8</v>
          </cell>
          <cell r="BA111">
            <v>15.7</v>
          </cell>
          <cell r="BB111">
            <v>16</v>
          </cell>
          <cell r="BC111">
            <v>15.8</v>
          </cell>
          <cell r="BD111">
            <v>2703</v>
          </cell>
          <cell r="BE111">
            <v>2845</v>
          </cell>
          <cell r="BF111">
            <v>2738</v>
          </cell>
          <cell r="BG111">
            <v>2667</v>
          </cell>
          <cell r="BH111">
            <v>2614</v>
          </cell>
          <cell r="BI111">
            <v>2667</v>
          </cell>
          <cell r="BJ111">
            <v>2720</v>
          </cell>
          <cell r="BK111">
            <v>2703</v>
          </cell>
          <cell r="BL111">
            <v>2756</v>
          </cell>
          <cell r="BM111">
            <v>2720</v>
          </cell>
          <cell r="BN111" t="str">
            <v>19-21日</v>
          </cell>
          <cell r="BO111" t="str">
            <v>-</v>
          </cell>
          <cell r="BP111">
            <v>13.5</v>
          </cell>
        </row>
        <row r="112">
          <cell r="A112" t="str">
            <v>WM-IND1</v>
          </cell>
          <cell r="B112" t="str">
            <v>-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  <cell r="I112" t="str">
            <v>-</v>
          </cell>
          <cell r="J112" t="str">
            <v>-</v>
          </cell>
          <cell r="K112" t="str">
            <v>-</v>
          </cell>
          <cell r="L112" t="str">
            <v>-</v>
          </cell>
          <cell r="M112" t="str">
            <v>-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>
            <v>16.5</v>
          </cell>
          <cell r="Y112">
            <v>17.3</v>
          </cell>
          <cell r="Z112">
            <v>16.7</v>
          </cell>
          <cell r="AA112">
            <v>16.4</v>
          </cell>
          <cell r="AB112">
            <v>16</v>
          </cell>
          <cell r="AC112">
            <v>16.3</v>
          </cell>
          <cell r="AD112">
            <v>16.6</v>
          </cell>
          <cell r="AE112">
            <v>16.5</v>
          </cell>
          <cell r="AF112">
            <v>16.8</v>
          </cell>
          <cell r="AG112">
            <v>16.6</v>
          </cell>
          <cell r="AH112">
            <v>3009</v>
          </cell>
          <cell r="AI112">
            <v>3151</v>
          </cell>
          <cell r="AJ112">
            <v>3044</v>
          </cell>
          <cell r="AK112">
            <v>2973</v>
          </cell>
          <cell r="AL112">
            <v>2920</v>
          </cell>
          <cell r="AM112">
            <v>2973</v>
          </cell>
          <cell r="AN112">
            <v>3026</v>
          </cell>
          <cell r="AO112">
            <v>3009</v>
          </cell>
          <cell r="AP112">
            <v>3062</v>
          </cell>
          <cell r="AQ112">
            <v>3026</v>
          </cell>
          <cell r="AR112" t="str">
            <v>18-20日</v>
          </cell>
          <cell r="AS112" t="str">
            <v>-</v>
          </cell>
          <cell r="AT112">
            <v>15.7</v>
          </cell>
          <cell r="AU112">
            <v>16.5</v>
          </cell>
          <cell r="AV112">
            <v>15.9</v>
          </cell>
          <cell r="AW112">
            <v>15.6</v>
          </cell>
          <cell r="AX112">
            <v>15.2</v>
          </cell>
          <cell r="AY112">
            <v>15.5</v>
          </cell>
          <cell r="AZ112">
            <v>15.8</v>
          </cell>
          <cell r="BA112">
            <v>15.7</v>
          </cell>
          <cell r="BB112">
            <v>16</v>
          </cell>
          <cell r="BC112">
            <v>15.8</v>
          </cell>
          <cell r="BD112">
            <v>2868</v>
          </cell>
          <cell r="BE112">
            <v>3010</v>
          </cell>
          <cell r="BF112">
            <v>2903</v>
          </cell>
          <cell r="BG112">
            <v>2832</v>
          </cell>
          <cell r="BH112">
            <v>2779</v>
          </cell>
          <cell r="BI112">
            <v>2832</v>
          </cell>
          <cell r="BJ112">
            <v>2885</v>
          </cell>
          <cell r="BK112">
            <v>2868</v>
          </cell>
          <cell r="BL112">
            <v>2921</v>
          </cell>
          <cell r="BM112">
            <v>2885</v>
          </cell>
          <cell r="BN112" t="str">
            <v>19-21日</v>
          </cell>
          <cell r="BO112" t="str">
            <v>-</v>
          </cell>
          <cell r="BP112">
            <v>13.5</v>
          </cell>
        </row>
        <row r="113">
          <cell r="A113" t="str">
            <v>WM-IND2</v>
          </cell>
          <cell r="B113" t="str">
            <v>-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  <cell r="J113" t="str">
            <v>-</v>
          </cell>
          <cell r="K113" t="str">
            <v>-</v>
          </cell>
          <cell r="L113" t="str">
            <v>-</v>
          </cell>
          <cell r="M113" t="str">
            <v>-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  <cell r="V113" t="str">
            <v>-</v>
          </cell>
          <cell r="W113" t="str">
            <v>-</v>
          </cell>
          <cell r="X113">
            <v>16.5</v>
          </cell>
          <cell r="Y113">
            <v>17.3</v>
          </cell>
          <cell r="Z113">
            <v>16.7</v>
          </cell>
          <cell r="AA113">
            <v>16.4</v>
          </cell>
          <cell r="AB113">
            <v>16</v>
          </cell>
          <cell r="AC113">
            <v>16.3</v>
          </cell>
          <cell r="AD113">
            <v>16.6</v>
          </cell>
          <cell r="AE113">
            <v>16.5</v>
          </cell>
          <cell r="AF113">
            <v>16.8</v>
          </cell>
          <cell r="AG113">
            <v>16.6</v>
          </cell>
          <cell r="AH113">
            <v>3009</v>
          </cell>
          <cell r="AI113">
            <v>3151</v>
          </cell>
          <cell r="AJ113">
            <v>3044</v>
          </cell>
          <cell r="AK113">
            <v>2973</v>
          </cell>
          <cell r="AL113">
            <v>2920</v>
          </cell>
          <cell r="AM113">
            <v>2973</v>
          </cell>
          <cell r="AN113">
            <v>3026</v>
          </cell>
          <cell r="AO113">
            <v>3009</v>
          </cell>
          <cell r="AP113">
            <v>3062</v>
          </cell>
          <cell r="AQ113">
            <v>3026</v>
          </cell>
          <cell r="AR113" t="str">
            <v>18-20日</v>
          </cell>
          <cell r="AS113" t="str">
            <v>-</v>
          </cell>
          <cell r="AT113">
            <v>15.7</v>
          </cell>
          <cell r="AU113">
            <v>16.5</v>
          </cell>
          <cell r="AV113">
            <v>15.9</v>
          </cell>
          <cell r="AW113">
            <v>15.6</v>
          </cell>
          <cell r="AX113">
            <v>15.2</v>
          </cell>
          <cell r="AY113">
            <v>15.5</v>
          </cell>
          <cell r="AZ113">
            <v>15.8</v>
          </cell>
          <cell r="BA113">
            <v>15.7</v>
          </cell>
          <cell r="BB113">
            <v>16</v>
          </cell>
          <cell r="BC113">
            <v>15.8</v>
          </cell>
          <cell r="BD113">
            <v>2868</v>
          </cell>
          <cell r="BE113">
            <v>3010</v>
          </cell>
          <cell r="BF113">
            <v>2903</v>
          </cell>
          <cell r="BG113">
            <v>2832</v>
          </cell>
          <cell r="BH113">
            <v>2779</v>
          </cell>
          <cell r="BI113">
            <v>2832</v>
          </cell>
          <cell r="BJ113">
            <v>2885</v>
          </cell>
          <cell r="BK113">
            <v>2868</v>
          </cell>
          <cell r="BL113">
            <v>2921</v>
          </cell>
          <cell r="BM113">
            <v>2885</v>
          </cell>
          <cell r="BN113" t="str">
            <v>19-21日</v>
          </cell>
          <cell r="BO113" t="str">
            <v>-</v>
          </cell>
          <cell r="BP113">
            <v>13.5</v>
          </cell>
        </row>
        <row r="114">
          <cell r="A114" t="str">
            <v>希音91744</v>
          </cell>
          <cell r="B114" t="str">
            <v>-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  <cell r="I114" t="str">
            <v>-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-</v>
          </cell>
          <cell r="X114">
            <v>11.9</v>
          </cell>
          <cell r="Y114">
            <v>12.7</v>
          </cell>
          <cell r="Z114">
            <v>12.1</v>
          </cell>
          <cell r="AA114">
            <v>11.8</v>
          </cell>
          <cell r="AB114">
            <v>11.4</v>
          </cell>
          <cell r="AC114">
            <v>11.7</v>
          </cell>
          <cell r="AD114">
            <v>12</v>
          </cell>
          <cell r="AE114">
            <v>11.9</v>
          </cell>
          <cell r="AF114">
            <v>12.2</v>
          </cell>
          <cell r="AG114">
            <v>12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 t="str">
            <v>-</v>
          </cell>
          <cell r="AN114" t="str">
            <v>-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16-19天</v>
          </cell>
          <cell r="AS114" t="str">
            <v>-</v>
          </cell>
          <cell r="AT114">
            <v>11.1</v>
          </cell>
          <cell r="AU114">
            <v>11.9</v>
          </cell>
          <cell r="AV114">
            <v>11.3</v>
          </cell>
          <cell r="AW114">
            <v>11</v>
          </cell>
          <cell r="AX114">
            <v>10.6</v>
          </cell>
          <cell r="AY114">
            <v>10.9</v>
          </cell>
          <cell r="AZ114">
            <v>11.2</v>
          </cell>
          <cell r="BA114">
            <v>11.1</v>
          </cell>
          <cell r="BB114">
            <v>11.4</v>
          </cell>
          <cell r="BC114">
            <v>11.2</v>
          </cell>
          <cell r="BD114" t="str">
            <v>-</v>
          </cell>
          <cell r="BE114" t="str">
            <v>-</v>
          </cell>
          <cell r="BF114" t="str">
            <v>-</v>
          </cell>
          <cell r="BG114" t="str">
            <v>-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 t="str">
            <v>-</v>
          </cell>
          <cell r="BM114" t="str">
            <v>-</v>
          </cell>
          <cell r="BN114" t="str">
            <v>17-20日</v>
          </cell>
          <cell r="BO114" t="str">
            <v>-</v>
          </cell>
          <cell r="BP114">
            <v>8.8</v>
          </cell>
        </row>
        <row r="115">
          <cell r="A115" t="str">
            <v>希音92223</v>
          </cell>
          <cell r="B115" t="str">
            <v>-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  <cell r="I115" t="str">
            <v>-</v>
          </cell>
          <cell r="J115" t="str">
            <v>-</v>
          </cell>
          <cell r="K115" t="str">
            <v>-</v>
          </cell>
          <cell r="L115" t="str">
            <v>-</v>
          </cell>
          <cell r="M115" t="str">
            <v>-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>
            <v>11.9</v>
          </cell>
          <cell r="Y115">
            <v>12.7</v>
          </cell>
          <cell r="Z115">
            <v>12.1</v>
          </cell>
          <cell r="AA115">
            <v>11.8</v>
          </cell>
          <cell r="AB115">
            <v>11.4</v>
          </cell>
          <cell r="AC115">
            <v>11.7</v>
          </cell>
          <cell r="AD115">
            <v>12</v>
          </cell>
          <cell r="AE115">
            <v>11.9</v>
          </cell>
          <cell r="AF115">
            <v>12.2</v>
          </cell>
          <cell r="AG115">
            <v>12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 t="str">
            <v>-</v>
          </cell>
          <cell r="AN115" t="str">
            <v>-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16-19天</v>
          </cell>
          <cell r="AS115" t="str">
            <v>-</v>
          </cell>
          <cell r="AT115">
            <v>11.1</v>
          </cell>
          <cell r="AU115">
            <v>11.9</v>
          </cell>
          <cell r="AV115">
            <v>11.3</v>
          </cell>
          <cell r="AW115">
            <v>11</v>
          </cell>
          <cell r="AX115">
            <v>10.6</v>
          </cell>
          <cell r="AY115">
            <v>10.9</v>
          </cell>
          <cell r="AZ115">
            <v>11.2</v>
          </cell>
          <cell r="BA115">
            <v>11.1</v>
          </cell>
          <cell r="BB115">
            <v>11.4</v>
          </cell>
          <cell r="BC115">
            <v>11.2</v>
          </cell>
          <cell r="BD115" t="str">
            <v>-</v>
          </cell>
          <cell r="BE115" t="str">
            <v>-</v>
          </cell>
          <cell r="BF115" t="str">
            <v>-</v>
          </cell>
          <cell r="BG115" t="str">
            <v>-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 t="str">
            <v>-</v>
          </cell>
          <cell r="BM115" t="str">
            <v>-</v>
          </cell>
          <cell r="BN115" t="str">
            <v>17-20日</v>
          </cell>
          <cell r="BO115" t="str">
            <v>-</v>
          </cell>
          <cell r="BP115">
            <v>8.8</v>
          </cell>
        </row>
        <row r="116">
          <cell r="A116" t="str">
            <v>希音
1420 N.Tamarind Ave,Rialto,CA,92376</v>
          </cell>
          <cell r="B116" t="str">
            <v>-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  <cell r="I116" t="str">
            <v>-</v>
          </cell>
          <cell r="J116" t="str">
            <v>-</v>
          </cell>
          <cell r="K116" t="str">
            <v>-</v>
          </cell>
          <cell r="L116" t="str">
            <v>-</v>
          </cell>
          <cell r="M116" t="str">
            <v>-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>
            <v>11.6</v>
          </cell>
          <cell r="Y116">
            <v>12.4</v>
          </cell>
          <cell r="Z116">
            <v>11.8</v>
          </cell>
          <cell r="AA116">
            <v>11.5</v>
          </cell>
          <cell r="AB116">
            <v>11.1</v>
          </cell>
          <cell r="AC116">
            <v>11.4</v>
          </cell>
          <cell r="AD116">
            <v>11.7</v>
          </cell>
          <cell r="AE116">
            <v>11.6</v>
          </cell>
          <cell r="AF116">
            <v>11.9</v>
          </cell>
          <cell r="AG116">
            <v>11.7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 t="str">
            <v>-</v>
          </cell>
          <cell r="AN116" t="str">
            <v>-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16-19天</v>
          </cell>
          <cell r="AS116" t="str">
            <v>-</v>
          </cell>
          <cell r="AT116">
            <v>10.8</v>
          </cell>
          <cell r="AU116">
            <v>11.6</v>
          </cell>
          <cell r="AV116">
            <v>11</v>
          </cell>
          <cell r="AW116">
            <v>10.7</v>
          </cell>
          <cell r="AX116">
            <v>10.3</v>
          </cell>
          <cell r="AY116">
            <v>10.6</v>
          </cell>
          <cell r="AZ116">
            <v>10.9</v>
          </cell>
          <cell r="BA116">
            <v>10.8</v>
          </cell>
          <cell r="BB116">
            <v>11.1</v>
          </cell>
          <cell r="BC116">
            <v>10.9</v>
          </cell>
          <cell r="BD116" t="str">
            <v>-</v>
          </cell>
          <cell r="BE116" t="str">
            <v>-</v>
          </cell>
          <cell r="BF116" t="str">
            <v>-</v>
          </cell>
          <cell r="BG116" t="str">
            <v>-</v>
          </cell>
          <cell r="BH116" t="str">
            <v>-</v>
          </cell>
          <cell r="BI116" t="str">
            <v>-</v>
          </cell>
          <cell r="BJ116" t="str">
            <v>-</v>
          </cell>
          <cell r="BK116" t="str">
            <v>-</v>
          </cell>
          <cell r="BL116" t="str">
            <v>-</v>
          </cell>
          <cell r="BM116" t="str">
            <v>-</v>
          </cell>
          <cell r="BN116" t="str">
            <v>17-20日</v>
          </cell>
          <cell r="BO116" t="str">
            <v>-</v>
          </cell>
          <cell r="BP116">
            <v>8.6</v>
          </cell>
        </row>
        <row r="117">
          <cell r="A117" t="str">
            <v>赔偿标准</v>
          </cell>
          <cell r="B117" t="str">
            <v>【美森极速12日达】：超时效卡派包税赔2.5元/kg/工作日（5元/KG封顶），卡派不包税350元/方/工作日（700元/方封顶）；查验一周后，按2.5元/KG赔付。
【洛杉矶CLX13日达】&amp;【洛杉矶MAX14日达】&amp;【洛杉矶17日达】&amp;【洛杉矶EXX16日达】：超时效卡派包税赔0.5元/kg/工作日，卡派不包税50元/方/工作日（直至运费抵完为止）; 美森正班13日达查验一周后，按1元/KG赔付。</v>
          </cell>
        </row>
        <row r="118">
          <cell r="A118" t="str">
            <v>不包税
注意事项</v>
          </cell>
          <cell r="B118" t="str">
            <v>①不含关税，查验费和查验产生的其他费用；②重货按每363KG=1CBM；③不包税渠道最低申报不低于100USD/CBM；</v>
          </cell>
        </row>
        <row r="119">
          <cell r="A119" t="str">
            <v>注意
事项</v>
          </cell>
          <cell r="B119" t="str">
            <v>货型比例超过1:200，可申请单价减0.2元/KG;（美森/EXX/合德带托/以星带托头程的渠道减0.5元/KG）
货型比例超过1:250，可申请单价减0.5元/KG;（美森/EXX/合德带托/以星带托头程的渠道减0.7元/KG）
货型比例超过1:300，可申请单价减1元/KG;
货型比例超过1:400，可申请单价减1.5元/KG;
货型比例超过1:500，可申请单价减2元/KG;
货型比例超过1:600，可申请单价减2.3元/KG;（美森/EXX/合德带托/以星带托头程的渠道减2.5元/KG）
货型比例超过1:700，可申请单价减2.5元/KG;（美森/EXX/合德带托/以星带托头程的渠道减2.7元/KG）</v>
          </cell>
        </row>
        <row r="120">
          <cell r="B120" t="str">
            <v>1.承诺时效和承诺赔付不包括以下情况
①美国/加拿大节假日等不可抗力：码头工人罢工、码头拥堵、天气原因、平台爆仓（及平台爆仓导致的海外仓爆仓）、平台删约、推约、拒收、不放约、疫情、快递漏扫描等；
②集装箱被进到封闭区/集装箱无法预约提柜/码头设备故障、延误时间需去除后再计算赔付时效；
③国内外海关查验，从系统通知查验到查验放行这段时间需去除后再计算赔付时效（含海关其他部门FDA/EPA/USDA/DOT/CPSC等HOLD货时间去除）从LFD可提柜多次发生预约推迟，预约困难，无理由拒收这期间需去除后再计算赔付时效；</v>
          </cell>
        </row>
        <row r="121">
          <cell r="B121" t="str">
            <v>2.以船公司官网为准：
正班不超11天船期（含11天），超过赔付顺延；
加班不超12天船期（含12天），超过赔付顺延。
EXX以船公司官网为准：不超12天船期（含12天），超过赔付顺延；</v>
          </cell>
        </row>
        <row r="122">
          <cell r="B122" t="str">
            <v>3.若需拦截改派/操作，到达海外仓前，拦截费用：900元/票（不含换标和派送等费用），提柜后拦截费用单询，如还有其他特殊操作请单询。</v>
          </cell>
        </row>
        <row r="123">
          <cell r="B123" t="str">
            <v>4.如若遭遇国外部分仓库删约、推约或预约时间过晚等情况，为了保证货物能尽快交仓，我司可能会采用快递的方式进行递送。</v>
          </cell>
        </row>
        <row r="124">
          <cell r="B124" t="str">
            <v>5.亚马逊卡派最长边130CM-180CM ，包税+0.8元/KG，不包税+140元/CBM;
亚马逊卡派最长边180CM-220CM ，包税+1.7元/KG，不包税+280元/CBM;</v>
          </cell>
        </row>
        <row r="125">
          <cell r="B125" t="str">
            <v>6.报关件：同渠道快递派和卡派相互不可合并报关。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zoomScale="85" zoomScaleNormal="85" workbookViewId="0">
      <selection activeCell="E14" sqref="E14"/>
    </sheetView>
  </sheetViews>
  <sheetFormatPr defaultColWidth="9.02654867256637" defaultRowHeight="15"/>
  <cols>
    <col min="1" max="1" width="24.8318584070796" style="2" customWidth="1"/>
    <col min="2" max="2" width="13.8938053097345" style="2" customWidth="1"/>
    <col min="3" max="3" width="12.5486725663717" style="2" customWidth="1"/>
    <col min="4" max="4" width="14.6637168141593" style="3" customWidth="1"/>
    <col min="5" max="5" width="15.7699115044248" style="3" customWidth="1"/>
    <col min="6" max="6" width="11.6371681415929" style="2" customWidth="1"/>
    <col min="7" max="7" width="29.6017699115044" style="3" customWidth="1"/>
    <col min="8" max="9" width="15.6194690265487" style="2" customWidth="1"/>
    <col min="10" max="11" width="26.3628318584071" style="2" customWidth="1"/>
    <col min="12" max="12" width="32.3362831858407" style="3" customWidth="1"/>
    <col min="13" max="13" width="10.858407079646" style="2" customWidth="1"/>
    <col min="14" max="14" width="12.0265486725664" style="2" customWidth="1"/>
    <col min="15" max="17" width="15.4601769911504" style="2" customWidth="1"/>
    <col min="18" max="19" width="9.02654867256637" style="2"/>
    <col min="20" max="20" width="9.53097345132743" style="2"/>
    <col min="21" max="16384" width="9.02654867256637" style="2"/>
  </cols>
  <sheetData>
    <row r="1" s="1" customFormat="1" ht="27" customHeight="1" spans="1:17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9" t="s">
        <v>8</v>
      </c>
      <c r="J1" s="9"/>
      <c r="K1" s="9" t="s">
        <v>9</v>
      </c>
      <c r="L1" s="10" t="s">
        <v>6</v>
      </c>
      <c r="M1" s="11" t="s">
        <v>10</v>
      </c>
      <c r="N1" s="11" t="s">
        <v>8</v>
      </c>
      <c r="O1" s="10" t="s">
        <v>6</v>
      </c>
      <c r="P1" s="11" t="s">
        <v>10</v>
      </c>
      <c r="Q1" s="11" t="s">
        <v>8</v>
      </c>
    </row>
    <row r="2" s="2" customFormat="1" ht="54" customHeight="1" spans="1:17">
      <c r="A2" s="4" t="s">
        <v>11</v>
      </c>
      <c r="B2" s="12" t="s">
        <v>12</v>
      </c>
      <c r="C2" s="11">
        <v>13.3</v>
      </c>
      <c r="D2" s="5">
        <v>336.59</v>
      </c>
      <c r="E2" s="13">
        <v>1.86</v>
      </c>
      <c r="F2" s="7">
        <v>21</v>
      </c>
      <c r="G2" s="8" t="s">
        <v>13</v>
      </c>
      <c r="H2" s="9">
        <f>VLOOKUP(B2,'[1]美西-美森(12-17)'!$A:$BP,68,0)</f>
        <v>10.4</v>
      </c>
      <c r="I2" s="14">
        <f>($C2-H2-$C2*0.05)*MAX($D2,$E2*167)</f>
        <v>752.27865</v>
      </c>
      <c r="J2" s="8"/>
      <c r="K2" s="8" t="s">
        <v>14</v>
      </c>
      <c r="O2" s="10"/>
      <c r="P2" s="11"/>
      <c r="Q2" s="15"/>
    </row>
    <row r="3" s="2" customFormat="1" ht="54" customHeight="1" spans="1:17">
      <c r="A3" s="4" t="s">
        <v>11</v>
      </c>
      <c r="B3" s="12" t="s">
        <v>15</v>
      </c>
      <c r="C3" s="11">
        <v>10.4</v>
      </c>
      <c r="D3" s="5">
        <v>427.39</v>
      </c>
      <c r="E3" s="13">
        <v>2.34</v>
      </c>
      <c r="F3" s="7">
        <v>27</v>
      </c>
      <c r="G3" s="8" t="s">
        <v>13</v>
      </c>
      <c r="H3" s="9">
        <f>VLOOKUP(B3,'[1]美西-美森(12-17)'!$A:$BP,68,0)</f>
        <v>8</v>
      </c>
      <c r="I3" s="14">
        <f>($C3-H3-$C3*0.05)*MAX($D3,$E3*167)</f>
        <v>803.4932</v>
      </c>
      <c r="J3" s="8"/>
      <c r="K3" s="8"/>
      <c r="L3" s="10"/>
      <c r="M3" s="11"/>
      <c r="N3" s="15"/>
      <c r="O3" s="10"/>
      <c r="P3" s="11"/>
      <c r="Q3" s="15"/>
    </row>
    <row r="4" s="2" customFormat="1" ht="54" customHeight="1" spans="1:17">
      <c r="A4" s="4" t="s">
        <v>11</v>
      </c>
      <c r="B4" s="12" t="s">
        <v>16</v>
      </c>
      <c r="C4" s="11">
        <v>12.7</v>
      </c>
      <c r="D4" s="5">
        <v>217.43</v>
      </c>
      <c r="E4" s="13">
        <v>1.2</v>
      </c>
      <c r="F4" s="7">
        <v>14</v>
      </c>
      <c r="G4" s="8" t="s">
        <v>13</v>
      </c>
      <c r="H4" s="9">
        <f>VLOOKUP(B4,'[1]美西-美森(12-17)'!$A:$BP,68,0)</f>
        <v>10.1</v>
      </c>
      <c r="I4" s="14">
        <f>($C4-H4-$C4*0.05)*MAX($D4,$E4*167)</f>
        <v>427.24995</v>
      </c>
      <c r="J4" s="8"/>
      <c r="K4" s="8"/>
      <c r="L4" s="10"/>
      <c r="M4" s="11"/>
      <c r="N4" s="15"/>
      <c r="O4" s="10"/>
      <c r="P4" s="11"/>
      <c r="Q4" s="15"/>
    </row>
    <row r="5" s="2" customFormat="1" ht="33" customHeight="1" spans="1:17">
      <c r="A5" s="4" t="s">
        <v>17</v>
      </c>
      <c r="B5" s="12" t="s">
        <v>18</v>
      </c>
      <c r="C5" s="11">
        <v>12.5</v>
      </c>
      <c r="D5" s="7">
        <v>192.5</v>
      </c>
      <c r="E5" s="13">
        <v>1.01</v>
      </c>
      <c r="F5" s="7">
        <v>11</v>
      </c>
      <c r="G5" s="16" t="s">
        <v>19</v>
      </c>
      <c r="H5" s="17">
        <v>10.5</v>
      </c>
      <c r="I5" s="18">
        <f>($C5-H5-$C5*0.05)*MAX($D5,$E5*167)</f>
        <v>264.6875</v>
      </c>
      <c r="J5" s="19">
        <f t="shared" ref="J5:J7" si="0">I5/(C5*MAX(D5,E5*167))</f>
        <v>0.11</v>
      </c>
      <c r="K5" s="20" t="s">
        <v>20</v>
      </c>
      <c r="L5" s="10"/>
      <c r="M5" s="11"/>
      <c r="N5" s="15"/>
      <c r="O5" s="21"/>
      <c r="P5" s="21"/>
      <c r="Q5" s="21"/>
    </row>
    <row r="6" s="2" customFormat="1" ht="33" customHeight="1" spans="1:17">
      <c r="A6" s="4" t="s">
        <v>17</v>
      </c>
      <c r="B6" s="12" t="s">
        <v>21</v>
      </c>
      <c r="C6" s="11">
        <v>12.1</v>
      </c>
      <c r="D6" s="5">
        <v>1304.24</v>
      </c>
      <c r="E6" s="13">
        <v>7.42</v>
      </c>
      <c r="F6" s="7">
        <v>81</v>
      </c>
      <c r="G6" s="16" t="s">
        <v>19</v>
      </c>
      <c r="H6" s="17">
        <v>10</v>
      </c>
      <c r="I6" s="18">
        <f>($C6-H6-$C6*0.08)*MAX($D6,$E6*167)</f>
        <v>1476.39968</v>
      </c>
      <c r="J6" s="19">
        <f t="shared" si="0"/>
        <v>0.0935537190082644</v>
      </c>
      <c r="K6" s="20"/>
      <c r="L6" s="11"/>
      <c r="M6" s="15"/>
      <c r="N6" s="1"/>
    </row>
    <row r="7" s="2" customFormat="1" ht="33" customHeight="1" spans="1:17">
      <c r="A7" s="4" t="s">
        <v>17</v>
      </c>
      <c r="B7" s="12" t="s">
        <v>22</v>
      </c>
      <c r="C7" s="11">
        <v>13.5</v>
      </c>
      <c r="D7" s="5">
        <v>305.8</v>
      </c>
      <c r="E7" s="13">
        <v>1.5</v>
      </c>
      <c r="F7" s="7">
        <v>21</v>
      </c>
      <c r="G7" s="16" t="s">
        <v>19</v>
      </c>
      <c r="H7" s="17">
        <v>11</v>
      </c>
      <c r="I7" s="18">
        <f>($C7-H7-$C7*0.08)*MAX($D7,$E7*167)</f>
        <v>434.236</v>
      </c>
      <c r="J7" s="19">
        <f t="shared" si="0"/>
        <v>0.105185185185185</v>
      </c>
      <c r="K7" s="22"/>
      <c r="L7" s="11"/>
      <c r="M7" s="15"/>
      <c r="N7" s="1"/>
    </row>
    <row r="8" ht="31" customHeight="1" spans="1:17">
      <c r="D8" s="23">
        <f>SUM(D2:D7)</f>
        <v>2783.95</v>
      </c>
      <c r="E8" s="23">
        <f>SUM(E2:E7)</f>
        <v>15.33</v>
      </c>
      <c r="F8" s="23">
        <f>SUM(F2:F7)</f>
        <v>175</v>
      </c>
      <c r="I8" s="24">
        <f>SUM(I2:I7)</f>
        <v>4158.34498</v>
      </c>
      <c r="J8" s="1"/>
      <c r="K8" s="1">
        <f>200+300</f>
        <v>500</v>
      </c>
    </row>
    <row r="9" spans="1:17">
      <c r="J9" s="1"/>
      <c r="K9" s="1">
        <f>I8-K8</f>
        <v>3658.34498</v>
      </c>
    </row>
    <row r="18" ht="15.75" spans="1:8">
      <c r="A18" s="25"/>
    </row>
    <row r="26" spans="1:8">
      <c r="G26" s="26"/>
      <c r="H26" s="27"/>
    </row>
  </sheetData>
  <autoFilter xmlns:etc="http://www.wps.cn/officeDocument/2017/etCustomData" ref="A1:M9" etc:filterBottomFollowUsedRange="0">
    <extLst/>
  </autoFilter>
  <mergeCells count="3">
    <mergeCell ref="K2:K4"/>
    <mergeCell ref="K5:K7"/>
    <mergeCell ref="N6:N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6.4周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</dc:creator>
  <cp:lastModifiedBy>b</cp:lastModifiedBy>
  <dcterms:created xsi:type="dcterms:W3CDTF">2023-10-07T02:27:00Z</dcterms:created>
  <cp:lastPrinted>2025-09-24T06:55:00Z</cp:lastPrinted>
  <dcterms:modified xsi:type="dcterms:W3CDTF">2026-06-10T10:18:49Z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5A5A091CDE044558B705027E77527077_13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