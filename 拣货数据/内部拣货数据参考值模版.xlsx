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基础数据" sheetId="2" r:id="rId1"/>
  </sheets>
  <definedNames>
    <definedName name="_xlnm._FilterDatabase" localSheetId="0" hidden="1">基础数据!$A$1:$AK$24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钱妙妙</author>
  </authors>
  <commentList>
    <comment ref="J1" authorId="0">
      <text>
        <r>
          <rPr>
            <b/>
            <sz val="28"/>
            <rFont val="宋体"/>
            <charset val="134"/>
          </rPr>
          <t>填客户下单发票中“货箱编号”</t>
        </r>
      </text>
    </comment>
    <comment ref="O1" authorId="0">
      <text>
        <r>
          <rPr>
            <b/>
            <sz val="32"/>
            <rFont val="宋体"/>
            <charset val="134"/>
          </rPr>
          <t>I-O列（客户货箱长宽高+客户货箱实重+差异）、Y-Z列（成本+过机图）、AE列（总成本），在给客户看的版本可以删掉</t>
        </r>
        <r>
          <rPr>
            <sz val="18"/>
            <rFont val="宋体"/>
            <charset val="134"/>
          </rPr>
          <t xml:space="preserve">
</t>
        </r>
      </text>
    </comment>
    <comment ref="AD1" authorId="0">
      <text>
        <r>
          <rPr>
            <b/>
            <sz val="9"/>
            <rFont val="宋体"/>
            <charset val="134"/>
          </rPr>
          <t>此计费标准规则：
1.先实重、材积重取大
2.再单票FBA计费重四舍五入</t>
        </r>
      </text>
    </comment>
  </commentList>
</comments>
</file>

<file path=xl/sharedStrings.xml><?xml version="1.0" encoding="utf-8"?>
<sst xmlns="http://schemas.openxmlformats.org/spreadsheetml/2006/main" count="163" uniqueCount="93">
  <si>
    <t>系统SO号</t>
  </si>
  <si>
    <t>客户渠道</t>
  </si>
  <si>
    <t>国家</t>
  </si>
  <si>
    <t>仓库代码</t>
  </si>
  <si>
    <t>应收单价</t>
  </si>
  <si>
    <t>应付单价</t>
  </si>
  <si>
    <t>供应商渠道</t>
  </si>
  <si>
    <t>船名</t>
  </si>
  <si>
    <t>单证报关</t>
  </si>
  <si>
    <t>FBA ID</t>
  </si>
  <si>
    <t>中文品名/英文品名</t>
  </si>
  <si>
    <t>提货费</t>
  </si>
  <si>
    <t>总箱数(CTN)</t>
  </si>
  <si>
    <t>实重</t>
  </si>
  <si>
    <t>长(CM)</t>
  </si>
  <si>
    <t>宽(CM)</t>
  </si>
  <si>
    <t>高(CM)</t>
  </si>
  <si>
    <t>材积重</t>
  </si>
  <si>
    <t>单箱材积重差异</t>
  </si>
  <si>
    <t>周长差异</t>
  </si>
  <si>
    <t>历史数据</t>
  </si>
  <si>
    <t>参考实重</t>
  </si>
  <si>
    <t>参考长(CM)</t>
  </si>
  <si>
    <t>参考宽(CM)</t>
  </si>
  <si>
    <t>参考高(CM)</t>
  </si>
  <si>
    <t>体积</t>
  </si>
  <si>
    <t>总实重</t>
  </si>
  <si>
    <t>总材积重</t>
  </si>
  <si>
    <t>计费重</t>
  </si>
  <si>
    <t>成本KG</t>
  </si>
  <si>
    <t>过机图</t>
  </si>
  <si>
    <t>供应商数据重量</t>
  </si>
  <si>
    <t>供应商长</t>
  </si>
  <si>
    <t>JTT202606000372</t>
  </si>
  <si>
    <t>美国超快线-卡派</t>
  </si>
  <si>
    <t>US</t>
  </si>
  <si>
    <t>RFD2</t>
  </si>
  <si>
    <t>天图-洛杉矶EXX16日达-卡派（EXX）</t>
  </si>
  <si>
    <t>ETD: 6-11
ETA: 6-22
CMA CGM WHITE SHARK 0GVMUE1MA(EXX)</t>
  </si>
  <si>
    <t>合并报关</t>
  </si>
  <si>
    <t>FBA19FFP3TQS</t>
  </si>
  <si>
    <t>水波纹灯</t>
  </si>
  <si>
    <t>46*41*41</t>
  </si>
  <si>
    <t>FBA19FFPXW3J</t>
  </si>
  <si>
    <t>魔钻投影灯</t>
  </si>
  <si>
    <t>FBA19FFRSWV5</t>
  </si>
  <si>
    <t>恐龙蛋投影灯</t>
  </si>
  <si>
    <t>FBA19FFS0F2V</t>
  </si>
  <si>
    <t>海蓝星水波纹投影灯</t>
  </si>
  <si>
    <t>53*44*41</t>
  </si>
  <si>
    <t>JTT202606000373</t>
  </si>
  <si>
    <t>us</t>
  </si>
  <si>
    <t>IAH3</t>
  </si>
  <si>
    <t>FBA19FFPZ7C6</t>
  </si>
  <si>
    <t>FBA19FFQG3F3</t>
  </si>
  <si>
    <t>水母投影灯</t>
  </si>
  <si>
    <t>FBA19FFRQVQD</t>
  </si>
  <si>
    <t>魔法球投影灯</t>
  </si>
  <si>
    <t>54*53*37</t>
  </si>
  <si>
    <t>FBA19FFS8QZ1</t>
  </si>
  <si>
    <t>JTT202606000374</t>
  </si>
  <si>
    <t>LGB8</t>
  </si>
  <si>
    <t>FBA19FFPMMSD</t>
  </si>
  <si>
    <t>趴趴兔伴睡灯</t>
  </si>
  <si>
    <t>FBA19FFPS43R</t>
  </si>
  <si>
    <t>FBA19FFPWSN3</t>
  </si>
  <si>
    <t>FBA19FFPYBRQ</t>
  </si>
  <si>
    <t>FBA19FFQ590M</t>
  </si>
  <si>
    <t>FBA19FFQ9CS9</t>
  </si>
  <si>
    <t>FBA19FFQG41G</t>
  </si>
  <si>
    <t>FBA19FFT7LQ3</t>
  </si>
  <si>
    <t>JTT202606000375</t>
  </si>
  <si>
    <t>欧洲含税-铁路快铁卡派</t>
  </si>
  <si>
    <t>DE</t>
  </si>
  <si>
    <t>DTM1</t>
  </si>
  <si>
    <t>航乐-欧洲铁路包税-专仓卡派专线（按KG）</t>
  </si>
  <si>
    <t>预计周二6.9班列（上周是周一深圳装柜，周三发车）</t>
  </si>
  <si>
    <t>FBA15LW32SY3</t>
  </si>
  <si>
    <t>FBA15LW5YKDL</t>
  </si>
  <si>
    <t>JTT202606000377</t>
  </si>
  <si>
    <t>WRO5</t>
  </si>
  <si>
    <t>FBA15LVSY4YJ</t>
  </si>
  <si>
    <t>折叠台灯</t>
  </si>
  <si>
    <t>FBA15LW0BRQJ</t>
  </si>
  <si>
    <t>FBA15LW37N83</t>
  </si>
  <si>
    <t>旋转小屋投影灯</t>
  </si>
  <si>
    <t>55*43*44</t>
  </si>
  <si>
    <t>JTT202606000379</t>
  </si>
  <si>
    <t>HAJ1</t>
  </si>
  <si>
    <t>FBA15LW4Z5YF</t>
  </si>
  <si>
    <t>FBA15LWFRDFB</t>
  </si>
  <si>
    <t>高清投影灯</t>
  </si>
  <si>
    <t>实重货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</si>
</sst>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;[Red]\-0.00\ "/>
    <numFmt numFmtId="178" formatCode="0_ ;[Red]\-0\ "/>
    <numFmt numFmtId="179" formatCode="0.0_ ;[Red]\-0.0\ "/>
    <numFmt numFmtId="180" formatCode="0.00_ "/>
  </numFmts>
  <fonts count="36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11"/>
      <color indexed="8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9"/>
      <color indexed="8"/>
      <name val="微软雅黑"/>
      <charset val="134"/>
    </font>
    <font>
      <sz val="9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32"/>
      <name val="宋体"/>
      <charset val="134"/>
    </font>
    <font>
      <b/>
      <sz val="9"/>
      <name val="宋体"/>
      <charset val="134"/>
    </font>
    <font>
      <sz val="18"/>
      <name val="宋体"/>
      <charset val="134"/>
    </font>
    <font>
      <b/>
      <sz val="28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9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8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50">
    <xf numFmtId="0" fontId="0" fillId="0" borderId="0" xfId="0" applyFo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3" borderId="0" xfId="0" applyNumberFormat="1" applyFont="1" applyFill="1" applyBorder="1" applyAlignment="1">
      <alignment horizontal="center" vertical="center"/>
    </xf>
    <xf numFmtId="0" fontId="3" fillId="3" borderId="0" xfId="0" applyNumberFormat="1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7" borderId="2" xfId="0" applyNumberFormat="1" applyFont="1" applyFill="1" applyBorder="1" applyAlignment="1">
      <alignment vertical="center"/>
    </xf>
    <xf numFmtId="0" fontId="8" fillId="3" borderId="1" xfId="0" applyFont="1" applyFill="1" applyBorder="1" applyAlignment="1" applyProtection="1">
      <alignment horizontal="center"/>
    </xf>
    <xf numFmtId="0" fontId="8" fillId="3" borderId="1" xfId="0" applyFont="1" applyFill="1" applyBorder="1" applyAlignment="1" applyProtection="1"/>
    <xf numFmtId="0" fontId="4" fillId="0" borderId="2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 applyProtection="1">
      <alignment horizontal="center"/>
    </xf>
    <xf numFmtId="176" fontId="4" fillId="4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7" borderId="3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4" fillId="7" borderId="1" xfId="0" applyNumberFormat="1" applyFont="1" applyFill="1" applyBorder="1" applyAlignment="1">
      <alignment vertical="center"/>
    </xf>
    <xf numFmtId="177" fontId="4" fillId="3" borderId="1" xfId="0" applyNumberFormat="1" applyFont="1" applyFill="1" applyBorder="1" applyAlignment="1" applyProtection="1">
      <alignment horizontal="center" vertical="center"/>
    </xf>
    <xf numFmtId="178" fontId="4" fillId="3" borderId="1" xfId="0" applyNumberFormat="1" applyFont="1" applyFill="1" applyBorder="1" applyAlignment="1" applyProtection="1">
      <alignment horizontal="center" vertical="center"/>
    </xf>
    <xf numFmtId="179" fontId="4" fillId="4" borderId="1" xfId="0" applyNumberFormat="1" applyFont="1" applyFill="1" applyBorder="1" applyAlignment="1" applyProtection="1">
      <alignment horizontal="center" vertical="center"/>
    </xf>
    <xf numFmtId="178" fontId="4" fillId="4" borderId="1" xfId="0" applyNumberFormat="1" applyFont="1" applyFill="1" applyBorder="1" applyAlignment="1" applyProtection="1">
      <alignment horizontal="center" vertical="center"/>
    </xf>
    <xf numFmtId="177" fontId="4" fillId="4" borderId="1" xfId="0" applyNumberFormat="1" applyFont="1" applyFill="1" applyBorder="1" applyAlignment="1" applyProtection="1">
      <alignment horizontal="center" vertical="center"/>
    </xf>
    <xf numFmtId="180" fontId="1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4"/>
  <sheetViews>
    <sheetView showGridLines="0" tabSelected="1" workbookViewId="0">
      <pane xSplit="1" ySplit="1" topLeftCell="B2" activePane="bottomRight" state="frozen"/>
      <selection/>
      <selection pane="topRight"/>
      <selection pane="bottomLeft"/>
      <selection pane="bottomRight" activeCell="B18" sqref="B18:B19"/>
    </sheetView>
  </sheetViews>
  <sheetFormatPr defaultColWidth="31.4134615384615" defaultRowHeight="16.8"/>
  <cols>
    <col min="1" max="1" width="18.5384615384615" style="3" customWidth="1"/>
    <col min="2" max="3" width="21.4615384615385" style="4" customWidth="1"/>
    <col min="4" max="6" width="9.53846153846154" style="4" customWidth="1"/>
    <col min="7" max="7" width="21.4615384615385" style="4" customWidth="1"/>
    <col min="8" max="8" width="34.7692307692308" style="4" customWidth="1"/>
    <col min="9" max="9" width="9.53846153846154" style="5" customWidth="1"/>
    <col min="10" max="10" width="17.6153846153846" style="6" customWidth="1"/>
    <col min="11" max="11" width="19" style="7" customWidth="1"/>
    <col min="12" max="12" width="8.15384615384615" style="5" customWidth="1"/>
    <col min="13" max="13" width="12.1538461538462" style="8" customWidth="1"/>
    <col min="14" max="14" width="7.07692307692308" style="9" customWidth="1"/>
    <col min="15" max="17" width="8.38461538461539" style="9" customWidth="1"/>
    <col min="18" max="18" width="7.61538461538461" style="9" customWidth="1"/>
    <col min="19" max="19" width="15.9230769230769" style="9" customWidth="1"/>
    <col min="20" max="20" width="9.53846153846154" style="9" customWidth="1"/>
    <col min="21" max="21" width="11.1538461538462" style="10" customWidth="1"/>
    <col min="22" max="22" width="9.53846153846154" style="9" customWidth="1"/>
    <col min="23" max="25" width="12.4615384615385" style="9" customWidth="1"/>
    <col min="26" max="26" width="7.61538461538461" style="10" customWidth="1"/>
    <col min="27" max="27" width="5.92307692307692" style="10" customWidth="1"/>
    <col min="28" max="28" width="8.07692307692308" style="10" customWidth="1"/>
    <col min="29" max="29" width="9.53846153846154" style="10" customWidth="1"/>
    <col min="30" max="30" width="8.07692307692308" style="10" customWidth="1"/>
    <col min="31" max="31" width="8.53846153846154" style="4" customWidth="1"/>
    <col min="32" max="32" width="7.61538461538461" style="10" customWidth="1"/>
    <col min="33" max="33" width="15.9230769230769" style="10" customWidth="1"/>
    <col min="34" max="35" width="9.53846153846154" style="10" customWidth="1"/>
    <col min="36" max="36" width="9.53846153846154" style="2" customWidth="1"/>
    <col min="37" max="16384" width="31.4134615384615" style="2" customWidth="1"/>
  </cols>
  <sheetData>
    <row r="1" s="1" customFormat="1" spans="1:37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3" t="s">
        <v>8</v>
      </c>
      <c r="J1" s="14" t="s">
        <v>9</v>
      </c>
      <c r="K1" s="14" t="s">
        <v>10</v>
      </c>
      <c r="L1" s="12" t="s">
        <v>11</v>
      </c>
      <c r="M1" s="15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7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8" t="s">
        <v>17</v>
      </c>
      <c r="AA1" s="18" t="s">
        <v>25</v>
      </c>
      <c r="AB1" s="18" t="s">
        <v>26</v>
      </c>
      <c r="AC1" s="18" t="s">
        <v>27</v>
      </c>
      <c r="AD1" s="18" t="s">
        <v>28</v>
      </c>
      <c r="AE1" s="12" t="s">
        <v>29</v>
      </c>
      <c r="AF1" s="18" t="s">
        <v>30</v>
      </c>
      <c r="AG1" s="19" t="s">
        <v>31</v>
      </c>
      <c r="AH1" s="19" t="s">
        <v>32</v>
      </c>
      <c r="AI1" s="19" t="s">
        <v>32</v>
      </c>
      <c r="AJ1" s="19" t="s">
        <v>32</v>
      </c>
      <c r="AK1" s="20"/>
    </row>
    <row r="2" s="2" customFormat="1" ht="15.6" customHeight="1" spans="1:37">
      <c r="A2" s="21" t="s">
        <v>33</v>
      </c>
      <c r="B2" s="22" t="s">
        <v>34</v>
      </c>
      <c r="C2" s="22" t="s">
        <v>35</v>
      </c>
      <c r="D2" s="23" t="s">
        <v>36</v>
      </c>
      <c r="E2" s="23">
        <v>13.3</v>
      </c>
      <c r="F2" s="23">
        <v>10.4</v>
      </c>
      <c r="G2" s="22" t="s">
        <v>37</v>
      </c>
      <c r="H2" s="22" t="s">
        <v>38</v>
      </c>
      <c r="I2" s="24" t="s">
        <v>39</v>
      </c>
      <c r="J2" s="25" t="s">
        <v>40</v>
      </c>
      <c r="K2" s="26" t="s">
        <v>41</v>
      </c>
      <c r="L2" s="27">
        <v>121</v>
      </c>
      <c r="M2" s="28">
        <v>11</v>
      </c>
      <c r="N2" s="28">
        <v>14.5</v>
      </c>
      <c r="O2" s="28">
        <v>43.8</v>
      </c>
      <c r="P2" s="28">
        <v>39.6</v>
      </c>
      <c r="Q2" s="28">
        <v>39.6</v>
      </c>
      <c r="R2" s="29">
        <f>O2*P2*Q2/6000</f>
        <v>11.447568</v>
      </c>
      <c r="S2" s="30">
        <f>R2-Z2</f>
        <v>-1.1257653333333</v>
      </c>
      <c r="T2" s="30">
        <f t="shared" ref="T2:T11" si="0">O2+P2+Q2-Y2-X2-W2</f>
        <v>-4</v>
      </c>
      <c r="U2" s="31" t="s">
        <v>42</v>
      </c>
      <c r="V2" s="32">
        <v>14.8</v>
      </c>
      <c r="W2" s="33">
        <v>46</v>
      </c>
      <c r="X2" s="33">
        <v>41</v>
      </c>
      <c r="Y2" s="33">
        <v>40</v>
      </c>
      <c r="Z2" s="34">
        <f t="shared" ref="Z2:Z13" si="1">W2*X2*Y2/6000</f>
        <v>12.5733333333333</v>
      </c>
      <c r="AA2" s="34">
        <f t="shared" ref="AA2:AA13" si="2">W2*X2*Y2*M2/1000000</f>
        <v>0.82984</v>
      </c>
      <c r="AB2" s="34">
        <f>V2*M2</f>
        <v>162.8</v>
      </c>
      <c r="AC2" s="34">
        <f>Z2*M2</f>
        <v>138.306666666667</v>
      </c>
      <c r="AD2" s="34">
        <f>ROUND(MAX(AB2:AC2),0)</f>
        <v>163</v>
      </c>
      <c r="AE2" s="35"/>
      <c r="AF2" s="36"/>
      <c r="AG2" s="32">
        <v>14.23</v>
      </c>
      <c r="AH2" s="32">
        <v>45</v>
      </c>
      <c r="AI2" s="32">
        <v>41</v>
      </c>
      <c r="AJ2" s="32">
        <v>40</v>
      </c>
    </row>
    <row r="3" s="2" customFormat="1" ht="15.6" customHeight="1" spans="1:37">
      <c r="A3" s="21"/>
      <c r="B3" s="37"/>
      <c r="C3" s="37"/>
      <c r="D3" s="23"/>
      <c r="E3" s="23"/>
      <c r="F3" s="23"/>
      <c r="G3" s="37" t="s">
        <v>37</v>
      </c>
      <c r="H3" s="37" t="s">
        <v>38</v>
      </c>
      <c r="I3" s="38"/>
      <c r="J3" s="25" t="s">
        <v>43</v>
      </c>
      <c r="K3" s="26" t="s">
        <v>44</v>
      </c>
      <c r="L3" s="39"/>
      <c r="M3" s="28">
        <v>1</v>
      </c>
      <c r="N3" s="28">
        <v>19.7</v>
      </c>
      <c r="O3" s="28">
        <v>56.5</v>
      </c>
      <c r="P3" s="28">
        <v>56</v>
      </c>
      <c r="Q3" s="28">
        <v>41</v>
      </c>
      <c r="R3" s="29">
        <f t="shared" ref="R2:R14" si="3">O3*P3*Q3/6000</f>
        <v>21.6206666666667</v>
      </c>
      <c r="S3" s="30">
        <f t="shared" ref="S2:S11" si="4">R3-Z3</f>
        <v>-1.763</v>
      </c>
      <c r="T3" s="30">
        <f t="shared" si="0"/>
        <v>-4.5</v>
      </c>
      <c r="U3" s="31"/>
      <c r="V3" s="33">
        <v>20.15</v>
      </c>
      <c r="W3" s="33">
        <v>59</v>
      </c>
      <c r="X3" s="33">
        <v>58</v>
      </c>
      <c r="Y3" s="33">
        <v>41</v>
      </c>
      <c r="Z3" s="34">
        <f t="shared" si="1"/>
        <v>23.3836666666667</v>
      </c>
      <c r="AA3" s="34">
        <f t="shared" si="2"/>
        <v>0.140302</v>
      </c>
      <c r="AB3" s="34">
        <f>V3*M3</f>
        <v>20.15</v>
      </c>
      <c r="AC3" s="34">
        <f>Z3*M3</f>
        <v>23.3836666666667</v>
      </c>
      <c r="AD3" s="34">
        <f>ROUND(MAX(AB3:AC3),0)</f>
        <v>23</v>
      </c>
      <c r="AE3" s="35"/>
      <c r="AF3" s="36"/>
      <c r="AG3" s="32">
        <v>20.15</v>
      </c>
      <c r="AH3" s="32">
        <v>59</v>
      </c>
      <c r="AI3" s="32">
        <v>58</v>
      </c>
      <c r="AJ3" s="32">
        <v>41</v>
      </c>
    </row>
    <row r="4" s="2" customFormat="1" ht="15.6" customHeight="1" spans="1:37">
      <c r="A4" s="21"/>
      <c r="B4" s="37"/>
      <c r="C4" s="37"/>
      <c r="D4" s="23"/>
      <c r="E4" s="23"/>
      <c r="F4" s="23"/>
      <c r="G4" s="37" t="s">
        <v>37</v>
      </c>
      <c r="H4" s="37" t="s">
        <v>38</v>
      </c>
      <c r="I4" s="38"/>
      <c r="J4" s="25" t="s">
        <v>45</v>
      </c>
      <c r="K4" s="26" t="s">
        <v>46</v>
      </c>
      <c r="L4" s="39"/>
      <c r="M4" s="28">
        <v>4</v>
      </c>
      <c r="N4" s="28">
        <v>18.21</v>
      </c>
      <c r="O4" s="28">
        <v>51.2</v>
      </c>
      <c r="P4" s="28">
        <v>51.2</v>
      </c>
      <c r="Q4" s="28">
        <v>46.5</v>
      </c>
      <c r="R4" s="29">
        <f t="shared" si="3"/>
        <v>20.31616</v>
      </c>
      <c r="S4" s="30">
        <f t="shared" si="4"/>
        <v>-2.10284</v>
      </c>
      <c r="T4" s="30">
        <f t="shared" si="0"/>
        <v>-5.09999999999999</v>
      </c>
      <c r="U4" s="31"/>
      <c r="V4" s="33">
        <v>16.63</v>
      </c>
      <c r="W4" s="33">
        <v>54</v>
      </c>
      <c r="X4" s="33">
        <v>53</v>
      </c>
      <c r="Y4" s="33">
        <v>47</v>
      </c>
      <c r="Z4" s="34">
        <f t="shared" si="1"/>
        <v>22.419</v>
      </c>
      <c r="AA4" s="34">
        <f t="shared" si="2"/>
        <v>0.538056</v>
      </c>
      <c r="AB4" s="34">
        <f>V4*M4</f>
        <v>66.52</v>
      </c>
      <c r="AC4" s="34">
        <f>Z4*M4</f>
        <v>89.676</v>
      </c>
      <c r="AD4" s="34">
        <f>ROUND(MAX(AB4:AC4),0)</f>
        <v>90</v>
      </c>
      <c r="AE4" s="35"/>
      <c r="AF4" s="36"/>
      <c r="AG4" s="32">
        <v>16.63</v>
      </c>
      <c r="AH4" s="32">
        <v>53</v>
      </c>
      <c r="AI4" s="32">
        <v>53</v>
      </c>
      <c r="AJ4" s="32">
        <v>47</v>
      </c>
    </row>
    <row r="5" s="2" customFormat="1" ht="15.6" customHeight="1" spans="1:37">
      <c r="A5" s="21"/>
      <c r="B5" s="40"/>
      <c r="C5" s="40"/>
      <c r="D5" s="23"/>
      <c r="E5" s="23"/>
      <c r="F5" s="23"/>
      <c r="G5" s="40" t="s">
        <v>37</v>
      </c>
      <c r="H5" s="40" t="s">
        <v>38</v>
      </c>
      <c r="I5" s="38"/>
      <c r="J5" s="25" t="s">
        <v>47</v>
      </c>
      <c r="K5" s="26" t="s">
        <v>48</v>
      </c>
      <c r="L5" s="39"/>
      <c r="M5" s="28">
        <v>5</v>
      </c>
      <c r="N5" s="28">
        <v>16.91</v>
      </c>
      <c r="O5" s="28">
        <v>53</v>
      </c>
      <c r="P5" s="28">
        <v>46</v>
      </c>
      <c r="Q5" s="28">
        <v>39</v>
      </c>
      <c r="R5" s="29">
        <f t="shared" si="3"/>
        <v>15.847</v>
      </c>
      <c r="S5" s="30">
        <f t="shared" si="4"/>
        <v>0.300333333333299</v>
      </c>
      <c r="T5" s="30">
        <f t="shared" si="0"/>
        <v>1</v>
      </c>
      <c r="U5" s="31" t="s">
        <v>49</v>
      </c>
      <c r="V5" s="32">
        <v>17.01</v>
      </c>
      <c r="W5" s="33">
        <v>53</v>
      </c>
      <c r="X5" s="33">
        <v>44</v>
      </c>
      <c r="Y5" s="33">
        <v>40</v>
      </c>
      <c r="Z5" s="34">
        <f t="shared" si="1"/>
        <v>15.5466666666667</v>
      </c>
      <c r="AA5" s="34">
        <f t="shared" si="2"/>
        <v>0.4664</v>
      </c>
      <c r="AB5" s="34">
        <f>V5*M5</f>
        <v>85.05</v>
      </c>
      <c r="AC5" s="34">
        <f>Z5*M5</f>
        <v>77.7333333333333</v>
      </c>
      <c r="AD5" s="34">
        <f>ROUND(MAX(AB5:AC5),0)</f>
        <v>85</v>
      </c>
      <c r="AE5" s="35"/>
      <c r="AF5" s="36"/>
      <c r="AG5" s="32">
        <v>15.3</v>
      </c>
      <c r="AH5" s="32">
        <v>53</v>
      </c>
      <c r="AI5" s="32">
        <v>44</v>
      </c>
      <c r="AJ5" s="32">
        <v>40</v>
      </c>
    </row>
    <row r="6" s="2" customFormat="1" ht="15.6" customHeight="1" spans="1:37">
      <c r="A6" s="21" t="s">
        <v>50</v>
      </c>
      <c r="B6" s="22" t="s">
        <v>34</v>
      </c>
      <c r="C6" s="22" t="s">
        <v>51</v>
      </c>
      <c r="D6" s="23" t="s">
        <v>52</v>
      </c>
      <c r="E6" s="23">
        <v>12.7</v>
      </c>
      <c r="F6" s="23">
        <v>10.1</v>
      </c>
      <c r="G6" s="22" t="s">
        <v>37</v>
      </c>
      <c r="H6" s="22" t="s">
        <v>38</v>
      </c>
      <c r="I6" s="38"/>
      <c r="J6" s="25" t="s">
        <v>53</v>
      </c>
      <c r="K6" s="26" t="s">
        <v>41</v>
      </c>
      <c r="L6" s="39"/>
      <c r="M6" s="28">
        <v>8</v>
      </c>
      <c r="N6" s="28">
        <v>14.5</v>
      </c>
      <c r="O6" s="28">
        <v>43.8</v>
      </c>
      <c r="P6" s="28">
        <v>39.6</v>
      </c>
      <c r="Q6" s="28">
        <v>39.6</v>
      </c>
      <c r="R6" s="29">
        <f t="shared" si="3"/>
        <v>11.447568</v>
      </c>
      <c r="S6" s="30">
        <f t="shared" si="4"/>
        <v>-1.1257653333333</v>
      </c>
      <c r="T6" s="30">
        <f t="shared" si="0"/>
        <v>-4</v>
      </c>
      <c r="U6" s="31"/>
      <c r="V6" s="32">
        <v>14.8</v>
      </c>
      <c r="W6" s="33">
        <v>46</v>
      </c>
      <c r="X6" s="33">
        <v>41</v>
      </c>
      <c r="Y6" s="33">
        <v>40</v>
      </c>
      <c r="Z6" s="34">
        <f t="shared" si="1"/>
        <v>12.5733333333333</v>
      </c>
      <c r="AA6" s="34">
        <f t="shared" si="2"/>
        <v>0.60352</v>
      </c>
      <c r="AB6" s="34">
        <f t="shared" ref="AB6:AB15" si="5">V6*M6</f>
        <v>118.4</v>
      </c>
      <c r="AC6" s="34">
        <f t="shared" ref="AC6:AC15" si="6">Z6*M6</f>
        <v>100.586666666667</v>
      </c>
      <c r="AD6" s="34">
        <f>ROUND(MAX(AB6:AC6),0)</f>
        <v>118</v>
      </c>
      <c r="AE6" s="35"/>
      <c r="AF6" s="36"/>
      <c r="AG6" s="32">
        <v>14.21</v>
      </c>
      <c r="AH6" s="32">
        <v>46</v>
      </c>
      <c r="AI6" s="32">
        <v>41</v>
      </c>
      <c r="AJ6" s="32">
        <v>40</v>
      </c>
    </row>
    <row r="7" s="2" customFormat="1" ht="15.6" customHeight="1" spans="1:37">
      <c r="A7" s="21" t="s">
        <v>50</v>
      </c>
      <c r="B7" s="37"/>
      <c r="C7" s="37"/>
      <c r="D7" s="23"/>
      <c r="E7" s="23"/>
      <c r="F7" s="23"/>
      <c r="G7" s="37" t="s">
        <v>37</v>
      </c>
      <c r="H7" s="37" t="s">
        <v>38</v>
      </c>
      <c r="I7" s="38"/>
      <c r="J7" s="25" t="s">
        <v>54</v>
      </c>
      <c r="K7" s="26" t="s">
        <v>55</v>
      </c>
      <c r="L7" s="39"/>
      <c r="M7" s="28">
        <v>1</v>
      </c>
      <c r="N7" s="28">
        <v>16.5</v>
      </c>
      <c r="O7" s="28">
        <v>52.3</v>
      </c>
      <c r="P7" s="28">
        <v>43.3</v>
      </c>
      <c r="Q7" s="28">
        <v>39.6</v>
      </c>
      <c r="R7" s="29">
        <f t="shared" si="3"/>
        <v>14.946294</v>
      </c>
      <c r="S7" s="30">
        <f t="shared" si="4"/>
        <v>-1.289706</v>
      </c>
      <c r="T7" s="30">
        <f t="shared" si="0"/>
        <v>-3.80000000000001</v>
      </c>
      <c r="U7" s="31"/>
      <c r="V7" s="32">
        <v>17.99</v>
      </c>
      <c r="W7" s="33">
        <v>54</v>
      </c>
      <c r="X7" s="33">
        <v>41</v>
      </c>
      <c r="Y7" s="33">
        <v>44</v>
      </c>
      <c r="Z7" s="34">
        <f t="shared" si="1"/>
        <v>16.236</v>
      </c>
      <c r="AA7" s="34">
        <f t="shared" si="2"/>
        <v>0.097416</v>
      </c>
      <c r="AB7" s="34">
        <f t="shared" si="5"/>
        <v>17.99</v>
      </c>
      <c r="AC7" s="34">
        <f t="shared" si="6"/>
        <v>16.236</v>
      </c>
      <c r="AD7" s="34">
        <f t="shared" ref="AD6:AD15" si="7">ROUND(MAX(AB7:AC7),0)</f>
        <v>18</v>
      </c>
      <c r="AE7" s="35"/>
      <c r="AF7" s="36"/>
      <c r="AG7" s="32">
        <v>16.88</v>
      </c>
      <c r="AH7" s="32">
        <v>54</v>
      </c>
      <c r="AI7" s="32">
        <v>41</v>
      </c>
      <c r="AJ7" s="32">
        <v>44</v>
      </c>
    </row>
    <row r="8" s="2" customFormat="1" ht="15.6" customHeight="1" spans="1:37">
      <c r="A8" s="21" t="s">
        <v>50</v>
      </c>
      <c r="B8" s="37"/>
      <c r="C8" s="37"/>
      <c r="D8" s="23"/>
      <c r="E8" s="23"/>
      <c r="F8" s="23"/>
      <c r="G8" s="37" t="s">
        <v>37</v>
      </c>
      <c r="H8" s="37" t="s">
        <v>38</v>
      </c>
      <c r="I8" s="38"/>
      <c r="J8" s="25" t="s">
        <v>56</v>
      </c>
      <c r="K8" s="26" t="s">
        <v>57</v>
      </c>
      <c r="L8" s="39"/>
      <c r="M8" s="28">
        <v>2</v>
      </c>
      <c r="N8" s="28">
        <v>15.15</v>
      </c>
      <c r="O8" s="28">
        <v>51.5</v>
      </c>
      <c r="P8" s="28">
        <v>51.5</v>
      </c>
      <c r="Q8" s="28">
        <v>35.5</v>
      </c>
      <c r="R8" s="29">
        <f t="shared" si="3"/>
        <v>15.6924791666667</v>
      </c>
      <c r="S8" s="30">
        <f t="shared" si="4"/>
        <v>-1.4795208333333</v>
      </c>
      <c r="T8" s="30">
        <f t="shared" si="0"/>
        <v>-4.5</v>
      </c>
      <c r="U8" s="31" t="s">
        <v>58</v>
      </c>
      <c r="V8" s="33">
        <v>14.85</v>
      </c>
      <c r="W8" s="33">
        <v>54</v>
      </c>
      <c r="X8" s="33">
        <v>53</v>
      </c>
      <c r="Y8" s="33">
        <v>36</v>
      </c>
      <c r="Z8" s="34">
        <f t="shared" si="1"/>
        <v>17.172</v>
      </c>
      <c r="AA8" s="34">
        <f t="shared" si="2"/>
        <v>0.206064</v>
      </c>
      <c r="AB8" s="34">
        <f t="shared" si="5"/>
        <v>29.7</v>
      </c>
      <c r="AC8" s="34">
        <f t="shared" si="6"/>
        <v>34.344</v>
      </c>
      <c r="AD8" s="34">
        <f t="shared" si="7"/>
        <v>34</v>
      </c>
      <c r="AE8" s="35"/>
      <c r="AF8" s="36"/>
      <c r="AG8" s="32">
        <v>14.84</v>
      </c>
      <c r="AH8" s="32">
        <v>53</v>
      </c>
      <c r="AI8" s="32">
        <v>53</v>
      </c>
      <c r="AJ8" s="32">
        <v>35</v>
      </c>
    </row>
    <row r="9" s="2" customFormat="1" ht="15.6" customHeight="1" spans="1:37">
      <c r="A9" s="21" t="s">
        <v>50</v>
      </c>
      <c r="B9" s="40"/>
      <c r="C9" s="40"/>
      <c r="D9" s="23"/>
      <c r="E9" s="23"/>
      <c r="F9" s="23"/>
      <c r="G9" s="40" t="s">
        <v>37</v>
      </c>
      <c r="H9" s="40" t="s">
        <v>38</v>
      </c>
      <c r="I9" s="38"/>
      <c r="J9" s="25" t="s">
        <v>59</v>
      </c>
      <c r="K9" s="26" t="s">
        <v>46</v>
      </c>
      <c r="L9" s="39"/>
      <c r="M9" s="28">
        <v>3</v>
      </c>
      <c r="N9" s="28">
        <v>18.21</v>
      </c>
      <c r="O9" s="28">
        <v>51.2</v>
      </c>
      <c r="P9" s="28">
        <v>51.2</v>
      </c>
      <c r="Q9" s="28">
        <v>46.5</v>
      </c>
      <c r="R9" s="29">
        <f t="shared" si="3"/>
        <v>20.31616</v>
      </c>
      <c r="S9" s="30">
        <f t="shared" si="4"/>
        <v>-2.10284</v>
      </c>
      <c r="T9" s="29">
        <f t="shared" si="0"/>
        <v>-5.09999999999999</v>
      </c>
      <c r="U9" s="31"/>
      <c r="V9" s="33">
        <v>16.66</v>
      </c>
      <c r="W9" s="33">
        <v>54</v>
      </c>
      <c r="X9" s="33">
        <v>53</v>
      </c>
      <c r="Y9" s="33">
        <v>47</v>
      </c>
      <c r="Z9" s="34">
        <f t="shared" si="1"/>
        <v>22.419</v>
      </c>
      <c r="AA9" s="34">
        <f t="shared" si="2"/>
        <v>0.403542</v>
      </c>
      <c r="AB9" s="34">
        <f t="shared" si="5"/>
        <v>49.98</v>
      </c>
      <c r="AC9" s="34">
        <f t="shared" si="6"/>
        <v>67.257</v>
      </c>
      <c r="AD9" s="34">
        <f t="shared" si="7"/>
        <v>67</v>
      </c>
      <c r="AE9" s="35"/>
      <c r="AF9" s="36"/>
      <c r="AG9" s="32">
        <v>16.66</v>
      </c>
      <c r="AH9" s="32">
        <v>54</v>
      </c>
      <c r="AI9" s="32">
        <v>53</v>
      </c>
      <c r="AJ9" s="32">
        <v>47</v>
      </c>
    </row>
    <row r="10" s="2" customFormat="1" ht="15.6" customHeight="1" spans="1:37">
      <c r="A10" s="21" t="s">
        <v>60</v>
      </c>
      <c r="B10" s="22" t="s">
        <v>34</v>
      </c>
      <c r="C10" s="22" t="s">
        <v>51</v>
      </c>
      <c r="D10" s="23" t="s">
        <v>61</v>
      </c>
      <c r="E10" s="23">
        <v>10.4</v>
      </c>
      <c r="F10" s="23">
        <v>8</v>
      </c>
      <c r="G10" s="22" t="s">
        <v>37</v>
      </c>
      <c r="H10" s="22" t="s">
        <v>38</v>
      </c>
      <c r="I10" s="38"/>
      <c r="J10" s="25" t="s">
        <v>62</v>
      </c>
      <c r="K10" s="26" t="s">
        <v>63</v>
      </c>
      <c r="L10" s="39"/>
      <c r="M10" s="28">
        <v>2</v>
      </c>
      <c r="N10" s="28">
        <v>16.16</v>
      </c>
      <c r="O10" s="28">
        <v>50.2</v>
      </c>
      <c r="P10" s="28">
        <v>45.1</v>
      </c>
      <c r="Q10" s="28">
        <v>44.2</v>
      </c>
      <c r="R10" s="29">
        <f t="shared" si="3"/>
        <v>16.6782806666667</v>
      </c>
      <c r="S10" s="30">
        <f t="shared" si="4"/>
        <v>-1.660386</v>
      </c>
      <c r="T10" s="30">
        <f t="shared" si="0"/>
        <v>-4.5</v>
      </c>
      <c r="U10" s="31"/>
      <c r="V10" s="33">
        <v>16.22</v>
      </c>
      <c r="W10" s="33">
        <v>52</v>
      </c>
      <c r="X10" s="33">
        <v>46</v>
      </c>
      <c r="Y10" s="33">
        <v>46</v>
      </c>
      <c r="Z10" s="34">
        <f t="shared" si="1"/>
        <v>18.3386666666667</v>
      </c>
      <c r="AA10" s="34">
        <f t="shared" si="2"/>
        <v>0.220064</v>
      </c>
      <c r="AB10" s="34">
        <f t="shared" si="5"/>
        <v>32.44</v>
      </c>
      <c r="AC10" s="34">
        <f t="shared" si="6"/>
        <v>36.6773333333333</v>
      </c>
      <c r="AD10" s="34">
        <f t="shared" si="7"/>
        <v>37</v>
      </c>
      <c r="AE10" s="35"/>
      <c r="AF10" s="36"/>
      <c r="AG10" s="32">
        <v>16.22</v>
      </c>
      <c r="AH10" s="32">
        <v>52</v>
      </c>
      <c r="AI10" s="32">
        <v>46</v>
      </c>
      <c r="AJ10" s="32">
        <v>46</v>
      </c>
    </row>
    <row r="11" ht="15.6" customHeight="1" spans="1:37">
      <c r="A11" s="21"/>
      <c r="B11" s="37"/>
      <c r="C11" s="37"/>
      <c r="D11" s="23"/>
      <c r="E11" s="23"/>
      <c r="F11" s="23"/>
      <c r="G11" s="37" t="s">
        <v>37</v>
      </c>
      <c r="H11" s="37" t="s">
        <v>38</v>
      </c>
      <c r="I11" s="38"/>
      <c r="J11" s="25" t="s">
        <v>64</v>
      </c>
      <c r="K11" s="26" t="s">
        <v>41</v>
      </c>
      <c r="L11" s="39"/>
      <c r="M11" s="28">
        <v>12</v>
      </c>
      <c r="N11" s="28">
        <v>14.5</v>
      </c>
      <c r="O11" s="28">
        <v>43.8</v>
      </c>
      <c r="P11" s="28">
        <v>39.6</v>
      </c>
      <c r="Q11" s="28">
        <v>39.6</v>
      </c>
      <c r="R11" s="29">
        <f t="shared" si="3"/>
        <v>11.447568</v>
      </c>
      <c r="S11" s="30">
        <f t="shared" si="4"/>
        <v>-1.1257653333333</v>
      </c>
      <c r="T11" s="30">
        <f t="shared" si="0"/>
        <v>-4</v>
      </c>
      <c r="U11" s="31"/>
      <c r="V11" s="32">
        <v>14.8</v>
      </c>
      <c r="W11" s="33">
        <v>46</v>
      </c>
      <c r="X11" s="33">
        <v>41</v>
      </c>
      <c r="Y11" s="33">
        <v>40</v>
      </c>
      <c r="Z11" s="34">
        <f t="shared" si="1"/>
        <v>12.5733333333333</v>
      </c>
      <c r="AA11" s="34">
        <f t="shared" si="2"/>
        <v>0.90528</v>
      </c>
      <c r="AB11" s="34">
        <f t="shared" si="5"/>
        <v>177.6</v>
      </c>
      <c r="AC11" s="34">
        <f t="shared" si="6"/>
        <v>150.88</v>
      </c>
      <c r="AD11" s="34">
        <f t="shared" si="7"/>
        <v>178</v>
      </c>
      <c r="AE11" s="35"/>
      <c r="AF11" s="36"/>
      <c r="AG11" s="32">
        <v>14.17</v>
      </c>
      <c r="AH11" s="32">
        <v>46</v>
      </c>
      <c r="AI11" s="32">
        <v>41</v>
      </c>
      <c r="AJ11" s="32">
        <v>40</v>
      </c>
    </row>
    <row r="12" ht="15.6" customHeight="1" spans="1:37">
      <c r="A12" s="21"/>
      <c r="B12" s="37"/>
      <c r="C12" s="37"/>
      <c r="D12" s="23"/>
      <c r="E12" s="23"/>
      <c r="F12" s="23"/>
      <c r="G12" s="37" t="s">
        <v>37</v>
      </c>
      <c r="H12" s="37" t="s">
        <v>38</v>
      </c>
      <c r="I12" s="38"/>
      <c r="J12" s="25" t="s">
        <v>65</v>
      </c>
      <c r="K12" s="26" t="s">
        <v>57</v>
      </c>
      <c r="L12" s="39"/>
      <c r="M12" s="28">
        <v>2</v>
      </c>
      <c r="N12" s="28">
        <v>15.15</v>
      </c>
      <c r="O12" s="28">
        <v>51.5</v>
      </c>
      <c r="P12" s="28">
        <v>51.5</v>
      </c>
      <c r="Q12" s="28">
        <v>35.5</v>
      </c>
      <c r="R12" s="29">
        <f t="shared" si="3"/>
        <v>15.6924791666667</v>
      </c>
      <c r="S12" s="30">
        <f t="shared" ref="S12:S25" si="8">R12-Z12</f>
        <v>-1.4795208333333</v>
      </c>
      <c r="T12" s="30">
        <f t="shared" ref="T12:T25" si="9">O12+P12+Q12-Y12-X12-W12</f>
        <v>-4.5</v>
      </c>
      <c r="U12" s="31"/>
      <c r="V12" s="33">
        <v>14.85</v>
      </c>
      <c r="W12" s="33">
        <v>54</v>
      </c>
      <c r="X12" s="33">
        <v>53</v>
      </c>
      <c r="Y12" s="33">
        <v>36</v>
      </c>
      <c r="Z12" s="34">
        <f t="shared" si="1"/>
        <v>17.172</v>
      </c>
      <c r="AA12" s="34">
        <f t="shared" si="2"/>
        <v>0.206064</v>
      </c>
      <c r="AB12" s="34">
        <f t="shared" ref="AB12:AB25" si="10">V12*M12</f>
        <v>29.7</v>
      </c>
      <c r="AC12" s="34">
        <f t="shared" ref="AC12:AC25" si="11">Z12*M12</f>
        <v>34.344</v>
      </c>
      <c r="AD12" s="34">
        <f t="shared" ref="AD12:AD25" si="12">ROUND(MAX(AB12:AC12),0)</f>
        <v>34</v>
      </c>
      <c r="AE12" s="35"/>
      <c r="AF12" s="36"/>
      <c r="AG12" s="32">
        <v>14.85</v>
      </c>
      <c r="AH12" s="32">
        <v>54</v>
      </c>
      <c r="AI12" s="32">
        <v>54</v>
      </c>
      <c r="AJ12" s="32">
        <v>35</v>
      </c>
    </row>
    <row r="13" ht="15.6" customHeight="1" spans="1:37">
      <c r="A13" s="21"/>
      <c r="B13" s="37"/>
      <c r="C13" s="37"/>
      <c r="D13" s="23"/>
      <c r="E13" s="23"/>
      <c r="F13" s="23"/>
      <c r="G13" s="37" t="s">
        <v>37</v>
      </c>
      <c r="H13" s="37" t="s">
        <v>38</v>
      </c>
      <c r="I13" s="38"/>
      <c r="J13" s="25" t="s">
        <v>66</v>
      </c>
      <c r="K13" s="26" t="s">
        <v>55</v>
      </c>
      <c r="L13" s="39"/>
      <c r="M13" s="28">
        <v>1</v>
      </c>
      <c r="N13" s="28">
        <v>16.5</v>
      </c>
      <c r="O13" s="28">
        <v>52.3</v>
      </c>
      <c r="P13" s="28">
        <v>43.3</v>
      </c>
      <c r="Q13" s="28">
        <v>39.6</v>
      </c>
      <c r="R13" s="29">
        <f t="shared" si="3"/>
        <v>14.946294</v>
      </c>
      <c r="S13" s="30">
        <f t="shared" si="8"/>
        <v>-1.5903726666667</v>
      </c>
      <c r="T13" s="30">
        <f t="shared" si="9"/>
        <v>-4.80000000000001</v>
      </c>
      <c r="U13" s="31"/>
      <c r="V13" s="32">
        <v>17.99</v>
      </c>
      <c r="W13" s="33">
        <v>55</v>
      </c>
      <c r="X13" s="33">
        <v>41</v>
      </c>
      <c r="Y13" s="33">
        <v>44</v>
      </c>
      <c r="Z13" s="34">
        <f t="shared" si="1"/>
        <v>16.5366666666667</v>
      </c>
      <c r="AA13" s="34">
        <f t="shared" si="2"/>
        <v>0.09922</v>
      </c>
      <c r="AB13" s="34">
        <f t="shared" si="10"/>
        <v>17.99</v>
      </c>
      <c r="AC13" s="34">
        <f t="shared" si="11"/>
        <v>16.5366666666667</v>
      </c>
      <c r="AD13" s="34">
        <f t="shared" si="12"/>
        <v>18</v>
      </c>
      <c r="AE13" s="35"/>
      <c r="AF13" s="36"/>
      <c r="AG13" s="32">
        <v>16.83</v>
      </c>
      <c r="AH13" s="32">
        <v>55</v>
      </c>
      <c r="AI13" s="32">
        <v>41</v>
      </c>
      <c r="AJ13" s="32">
        <v>44</v>
      </c>
    </row>
    <row r="14" ht="15.6" customHeight="1" spans="1:37">
      <c r="A14" s="21"/>
      <c r="B14" s="37"/>
      <c r="C14" s="37"/>
      <c r="D14" s="23"/>
      <c r="E14" s="23"/>
      <c r="F14" s="23"/>
      <c r="G14" s="37" t="s">
        <v>37</v>
      </c>
      <c r="H14" s="37" t="s">
        <v>38</v>
      </c>
      <c r="I14" s="38"/>
      <c r="J14" s="25" t="s">
        <v>67</v>
      </c>
      <c r="K14" s="26" t="s">
        <v>48</v>
      </c>
      <c r="L14" s="39"/>
      <c r="M14" s="28">
        <v>2</v>
      </c>
      <c r="N14" s="28">
        <v>18.21</v>
      </c>
      <c r="O14" s="28">
        <v>51.2</v>
      </c>
      <c r="P14" s="28">
        <v>51.2</v>
      </c>
      <c r="Q14" s="28">
        <v>46.5</v>
      </c>
      <c r="R14" s="29">
        <f t="shared" si="3"/>
        <v>20.31616</v>
      </c>
      <c r="S14" s="30">
        <f t="shared" si="8"/>
        <v>-2.10284</v>
      </c>
      <c r="T14" s="29">
        <f t="shared" si="9"/>
        <v>-5.09999999999999</v>
      </c>
      <c r="U14" s="31"/>
      <c r="V14" s="32">
        <v>18.21</v>
      </c>
      <c r="W14" s="33">
        <v>54</v>
      </c>
      <c r="X14" s="33">
        <v>53</v>
      </c>
      <c r="Y14" s="33">
        <v>47</v>
      </c>
      <c r="Z14" s="34">
        <f t="shared" ref="Z12:Z25" si="13">W14*X14*Y14/6000</f>
        <v>22.419</v>
      </c>
      <c r="AA14" s="34">
        <f t="shared" ref="AA14:AA25" si="14">W14*X14*Y14*M14/1000000</f>
        <v>0.269028</v>
      </c>
      <c r="AB14" s="34">
        <f t="shared" si="10"/>
        <v>36.42</v>
      </c>
      <c r="AC14" s="34">
        <f t="shared" si="11"/>
        <v>44.838</v>
      </c>
      <c r="AD14" s="34">
        <f t="shared" si="12"/>
        <v>45</v>
      </c>
      <c r="AE14" s="35"/>
      <c r="AF14" s="36"/>
      <c r="AG14" s="32">
        <v>16.68</v>
      </c>
      <c r="AH14" s="32">
        <v>54</v>
      </c>
      <c r="AI14" s="32">
        <v>53</v>
      </c>
      <c r="AJ14" s="32">
        <v>47</v>
      </c>
    </row>
    <row r="15" ht="15.6" customHeight="1" spans="1:37">
      <c r="A15" s="21"/>
      <c r="B15" s="37"/>
      <c r="C15" s="37"/>
      <c r="D15" s="23"/>
      <c r="E15" s="23"/>
      <c r="F15" s="23"/>
      <c r="G15" s="37" t="s">
        <v>37</v>
      </c>
      <c r="H15" s="37" t="s">
        <v>38</v>
      </c>
      <c r="I15" s="38"/>
      <c r="J15" s="25" t="s">
        <v>68</v>
      </c>
      <c r="K15" s="26" t="s">
        <v>46</v>
      </c>
      <c r="L15" s="39"/>
      <c r="M15" s="28">
        <v>2</v>
      </c>
      <c r="N15" s="28">
        <v>16.8</v>
      </c>
      <c r="O15" s="28">
        <v>46</v>
      </c>
      <c r="P15" s="28">
        <v>39</v>
      </c>
      <c r="Q15" s="28">
        <v>53</v>
      </c>
      <c r="R15" s="29">
        <f t="shared" ref="R12:R25" si="15">O15*P15*Q15/6000</f>
        <v>15.847</v>
      </c>
      <c r="S15" s="30">
        <f t="shared" si="8"/>
        <v>-0.106</v>
      </c>
      <c r="T15" s="29">
        <f t="shared" si="9"/>
        <v>0</v>
      </c>
      <c r="U15" s="31"/>
      <c r="V15" s="32">
        <v>16.8</v>
      </c>
      <c r="W15" s="33">
        <v>53</v>
      </c>
      <c r="X15" s="33">
        <v>42</v>
      </c>
      <c r="Y15" s="33">
        <v>43</v>
      </c>
      <c r="Z15" s="34">
        <f t="shared" si="13"/>
        <v>15.953</v>
      </c>
      <c r="AA15" s="34">
        <f t="shared" si="14"/>
        <v>0.191436</v>
      </c>
      <c r="AB15" s="34">
        <f t="shared" si="10"/>
        <v>33.6</v>
      </c>
      <c r="AC15" s="34">
        <f t="shared" si="11"/>
        <v>31.906</v>
      </c>
      <c r="AD15" s="34">
        <f t="shared" si="12"/>
        <v>34</v>
      </c>
      <c r="AE15" s="35"/>
      <c r="AF15" s="36"/>
      <c r="AG15" s="32">
        <v>15.06</v>
      </c>
      <c r="AH15" s="32">
        <v>53</v>
      </c>
      <c r="AI15" s="32">
        <v>42</v>
      </c>
      <c r="AJ15" s="32">
        <v>43</v>
      </c>
    </row>
    <row r="16" ht="15.6" customHeight="1" spans="1:37">
      <c r="A16" s="21"/>
      <c r="B16" s="37"/>
      <c r="C16" s="37"/>
      <c r="D16" s="23"/>
      <c r="E16" s="23"/>
      <c r="F16" s="23"/>
      <c r="G16" s="37" t="s">
        <v>37</v>
      </c>
      <c r="H16" s="37" t="s">
        <v>38</v>
      </c>
      <c r="I16" s="38"/>
      <c r="J16" s="25" t="s">
        <v>69</v>
      </c>
      <c r="K16" s="26" t="s">
        <v>44</v>
      </c>
      <c r="L16" s="39"/>
      <c r="M16" s="28">
        <v>1</v>
      </c>
      <c r="N16" s="28">
        <v>19.7</v>
      </c>
      <c r="O16" s="28">
        <v>56.5</v>
      </c>
      <c r="P16" s="28">
        <v>56</v>
      </c>
      <c r="Q16" s="28">
        <v>41</v>
      </c>
      <c r="R16" s="29">
        <f t="shared" si="15"/>
        <v>21.6206666666667</v>
      </c>
      <c r="S16" s="30">
        <f t="shared" si="8"/>
        <v>-1.763</v>
      </c>
      <c r="T16" s="30">
        <f t="shared" si="9"/>
        <v>-4.5</v>
      </c>
      <c r="U16" s="31"/>
      <c r="V16" s="33">
        <v>20.15</v>
      </c>
      <c r="W16" s="33">
        <v>59</v>
      </c>
      <c r="X16" s="33">
        <v>58</v>
      </c>
      <c r="Y16" s="33">
        <v>41</v>
      </c>
      <c r="Z16" s="34">
        <f t="shared" si="13"/>
        <v>23.3836666666667</v>
      </c>
      <c r="AA16" s="34">
        <f t="shared" si="14"/>
        <v>0.140302</v>
      </c>
      <c r="AB16" s="34">
        <f t="shared" si="10"/>
        <v>20.15</v>
      </c>
      <c r="AC16" s="34">
        <f t="shared" si="11"/>
        <v>23.3836666666667</v>
      </c>
      <c r="AD16" s="34">
        <f t="shared" si="12"/>
        <v>23</v>
      </c>
      <c r="AE16" s="35"/>
      <c r="AF16" s="36"/>
      <c r="AG16" s="32">
        <v>20.1</v>
      </c>
      <c r="AH16" s="32">
        <v>59</v>
      </c>
      <c r="AI16" s="32">
        <v>58</v>
      </c>
      <c r="AJ16" s="32">
        <v>41</v>
      </c>
    </row>
    <row r="17" ht="15.6" customHeight="1" spans="1:36">
      <c r="A17" s="21"/>
      <c r="B17" s="40"/>
      <c r="C17" s="40"/>
      <c r="D17" s="23"/>
      <c r="E17" s="23"/>
      <c r="F17" s="23"/>
      <c r="G17" s="40" t="s">
        <v>37</v>
      </c>
      <c r="H17" s="40" t="s">
        <v>38</v>
      </c>
      <c r="I17" s="38"/>
      <c r="J17" s="25" t="s">
        <v>70</v>
      </c>
      <c r="K17" s="26" t="s">
        <v>48</v>
      </c>
      <c r="L17" s="41"/>
      <c r="M17" s="28">
        <v>5</v>
      </c>
      <c r="N17" s="28">
        <v>16.91</v>
      </c>
      <c r="O17" s="28">
        <v>53</v>
      </c>
      <c r="P17" s="28">
        <v>46</v>
      </c>
      <c r="Q17" s="28">
        <v>39</v>
      </c>
      <c r="R17" s="29">
        <f t="shared" si="15"/>
        <v>15.847</v>
      </c>
      <c r="S17" s="30">
        <f t="shared" si="8"/>
        <v>0.300333333333333</v>
      </c>
      <c r="T17" s="30">
        <f t="shared" si="9"/>
        <v>1</v>
      </c>
      <c r="U17" s="31"/>
      <c r="V17" s="32">
        <v>17.01</v>
      </c>
      <c r="W17" s="33">
        <v>53</v>
      </c>
      <c r="X17" s="33">
        <v>44</v>
      </c>
      <c r="Y17" s="33">
        <v>40</v>
      </c>
      <c r="Z17" s="34">
        <f t="shared" si="13"/>
        <v>15.5466666666667</v>
      </c>
      <c r="AA17" s="34">
        <f t="shared" si="14"/>
        <v>0.4664</v>
      </c>
      <c r="AB17" s="34">
        <f t="shared" si="10"/>
        <v>85.05</v>
      </c>
      <c r="AC17" s="34">
        <f t="shared" si="11"/>
        <v>77.7333333333333</v>
      </c>
      <c r="AD17" s="34">
        <f t="shared" si="12"/>
        <v>85</v>
      </c>
      <c r="AE17" s="35"/>
      <c r="AF17" s="36"/>
      <c r="AG17" s="32">
        <v>15.29</v>
      </c>
      <c r="AH17" s="32">
        <v>53</v>
      </c>
      <c r="AI17" s="32">
        <v>42</v>
      </c>
      <c r="AJ17" s="32">
        <v>43</v>
      </c>
    </row>
    <row r="18" ht="15.6" customHeight="1" spans="1:36">
      <c r="A18" s="21" t="s">
        <v>71</v>
      </c>
      <c r="B18" s="42" t="s">
        <v>72</v>
      </c>
      <c r="C18" s="42" t="s">
        <v>73</v>
      </c>
      <c r="D18" s="23" t="s">
        <v>74</v>
      </c>
      <c r="E18" s="23">
        <v>13.5</v>
      </c>
      <c r="F18" s="23">
        <v>11</v>
      </c>
      <c r="G18" s="42" t="s">
        <v>75</v>
      </c>
      <c r="H18" s="42" t="s">
        <v>76</v>
      </c>
      <c r="I18" s="43" t="s">
        <v>39</v>
      </c>
      <c r="J18" s="25" t="s">
        <v>77</v>
      </c>
      <c r="K18" s="26" t="s">
        <v>41</v>
      </c>
      <c r="L18" s="27">
        <v>255.06</v>
      </c>
      <c r="M18" s="28">
        <v>2</v>
      </c>
      <c r="N18" s="28">
        <v>15.15</v>
      </c>
      <c r="O18" s="28">
        <v>51.5</v>
      </c>
      <c r="P18" s="28">
        <v>51.5</v>
      </c>
      <c r="Q18" s="28">
        <v>35.5</v>
      </c>
      <c r="R18" s="29">
        <f t="shared" si="15"/>
        <v>15.6924791666667</v>
      </c>
      <c r="S18" s="30">
        <f t="shared" si="8"/>
        <v>-1.16152083333333</v>
      </c>
      <c r="T18" s="30">
        <f t="shared" si="9"/>
        <v>-3.5</v>
      </c>
      <c r="U18" s="31"/>
      <c r="V18" s="44">
        <v>16.65</v>
      </c>
      <c r="W18" s="45">
        <v>53</v>
      </c>
      <c r="X18" s="45">
        <v>36</v>
      </c>
      <c r="Y18" s="45">
        <v>53</v>
      </c>
      <c r="Z18" s="34">
        <f t="shared" si="13"/>
        <v>16.854</v>
      </c>
      <c r="AA18" s="34">
        <f t="shared" si="14"/>
        <v>0.202248</v>
      </c>
      <c r="AB18" s="34">
        <f t="shared" si="10"/>
        <v>33.3</v>
      </c>
      <c r="AC18" s="34">
        <f t="shared" si="11"/>
        <v>33.708</v>
      </c>
      <c r="AD18" s="34">
        <f t="shared" si="12"/>
        <v>34</v>
      </c>
      <c r="AE18" s="35"/>
      <c r="AF18" s="36"/>
      <c r="AG18" s="46">
        <v>16.65</v>
      </c>
      <c r="AH18" s="47">
        <v>53</v>
      </c>
      <c r="AI18" s="47">
        <v>35</v>
      </c>
      <c r="AJ18" s="47">
        <v>53</v>
      </c>
    </row>
    <row r="19" ht="15.6" customHeight="1" spans="1:36">
      <c r="A19" s="21"/>
      <c r="B19" s="42"/>
      <c r="C19" s="42"/>
      <c r="D19" s="23"/>
      <c r="E19" s="23"/>
      <c r="F19" s="23"/>
      <c r="G19" s="42" t="s">
        <v>75</v>
      </c>
      <c r="H19" s="42" t="s">
        <v>76</v>
      </c>
      <c r="I19" s="43"/>
      <c r="J19" s="25" t="s">
        <v>78</v>
      </c>
      <c r="K19" s="26" t="s">
        <v>57</v>
      </c>
      <c r="L19" s="39"/>
      <c r="M19" s="28">
        <v>19</v>
      </c>
      <c r="N19" s="28">
        <v>14.5</v>
      </c>
      <c r="O19" s="28">
        <v>43.8</v>
      </c>
      <c r="P19" s="28">
        <v>39.6</v>
      </c>
      <c r="Q19" s="28">
        <v>39.6</v>
      </c>
      <c r="R19" s="29">
        <f t="shared" si="15"/>
        <v>11.447568</v>
      </c>
      <c r="S19" s="30">
        <f t="shared" si="8"/>
        <v>-1.159932</v>
      </c>
      <c r="T19" s="29">
        <f t="shared" si="9"/>
        <v>-4</v>
      </c>
      <c r="U19" s="31"/>
      <c r="V19" s="32">
        <v>14.85</v>
      </c>
      <c r="W19" s="32">
        <v>45</v>
      </c>
      <c r="X19" s="32">
        <v>41</v>
      </c>
      <c r="Y19" s="32">
        <v>41</v>
      </c>
      <c r="Z19" s="34">
        <f t="shared" si="13"/>
        <v>12.6075</v>
      </c>
      <c r="AA19" s="34">
        <f t="shared" si="14"/>
        <v>1.437255</v>
      </c>
      <c r="AB19" s="34">
        <f t="shared" si="10"/>
        <v>282.15</v>
      </c>
      <c r="AC19" s="34">
        <f t="shared" si="11"/>
        <v>239.5425</v>
      </c>
      <c r="AD19" s="34">
        <f t="shared" si="12"/>
        <v>282</v>
      </c>
      <c r="AE19" s="35"/>
      <c r="AF19" s="36"/>
      <c r="AG19" s="46">
        <v>14.53</v>
      </c>
      <c r="AH19" s="47">
        <v>40.5</v>
      </c>
      <c r="AI19" s="47">
        <v>40.5</v>
      </c>
      <c r="AJ19" s="47">
        <v>45</v>
      </c>
    </row>
    <row r="20" ht="15.6" customHeight="1" spans="1:36">
      <c r="A20" s="21" t="s">
        <v>79</v>
      </c>
      <c r="B20" s="42" t="s">
        <v>72</v>
      </c>
      <c r="C20" s="42" t="s">
        <v>73</v>
      </c>
      <c r="D20" s="23" t="s">
        <v>80</v>
      </c>
      <c r="E20" s="23">
        <v>12.1</v>
      </c>
      <c r="F20" s="23">
        <v>10</v>
      </c>
      <c r="G20" s="42" t="s">
        <v>75</v>
      </c>
      <c r="H20" s="42" t="s">
        <v>76</v>
      </c>
      <c r="I20" s="43"/>
      <c r="J20" s="25" t="s">
        <v>81</v>
      </c>
      <c r="K20" s="26" t="s">
        <v>82</v>
      </c>
      <c r="L20" s="39"/>
      <c r="M20" s="28">
        <v>14</v>
      </c>
      <c r="N20" s="28">
        <v>14.93</v>
      </c>
      <c r="O20" s="28">
        <v>48.5</v>
      </c>
      <c r="P20" s="28">
        <v>48</v>
      </c>
      <c r="Q20" s="28">
        <v>34.2</v>
      </c>
      <c r="R20" s="29">
        <f t="shared" si="15"/>
        <v>13.2696</v>
      </c>
      <c r="S20" s="30">
        <f t="shared" si="8"/>
        <v>-1.4304</v>
      </c>
      <c r="T20" s="30">
        <f t="shared" si="9"/>
        <v>-4.30000000000001</v>
      </c>
      <c r="U20" s="31"/>
      <c r="V20" s="48">
        <v>15.5</v>
      </c>
      <c r="W20" s="45">
        <v>50</v>
      </c>
      <c r="X20" s="45">
        <v>49</v>
      </c>
      <c r="Y20" s="47">
        <v>36</v>
      </c>
      <c r="Z20" s="34">
        <f t="shared" si="13"/>
        <v>14.7</v>
      </c>
      <c r="AA20" s="34">
        <f t="shared" si="14"/>
        <v>1.2348</v>
      </c>
      <c r="AB20" s="34">
        <f t="shared" si="10"/>
        <v>217</v>
      </c>
      <c r="AC20" s="34">
        <f t="shared" si="11"/>
        <v>205.8</v>
      </c>
      <c r="AD20" s="34">
        <f t="shared" si="12"/>
        <v>217</v>
      </c>
      <c r="AE20" s="35"/>
      <c r="AF20" s="36"/>
      <c r="AG20" s="46">
        <v>14.92</v>
      </c>
      <c r="AH20" s="47">
        <v>50</v>
      </c>
      <c r="AI20" s="47">
        <v>49</v>
      </c>
      <c r="AJ20" s="47">
        <v>34.5</v>
      </c>
    </row>
    <row r="21" ht="15.6" customHeight="1" spans="1:36">
      <c r="A21" s="21"/>
      <c r="B21" s="42"/>
      <c r="C21" s="42"/>
      <c r="D21" s="23"/>
      <c r="E21" s="23"/>
      <c r="F21" s="23"/>
      <c r="G21" s="42" t="s">
        <v>75</v>
      </c>
      <c r="H21" s="42" t="s">
        <v>76</v>
      </c>
      <c r="I21" s="43"/>
      <c r="J21" s="25" t="s">
        <v>83</v>
      </c>
      <c r="K21" s="26" t="s">
        <v>48</v>
      </c>
      <c r="L21" s="39"/>
      <c r="M21" s="28">
        <v>42</v>
      </c>
      <c r="N21" s="28">
        <v>16.91</v>
      </c>
      <c r="O21" s="28">
        <v>53</v>
      </c>
      <c r="P21" s="28">
        <v>46</v>
      </c>
      <c r="Q21" s="28">
        <v>39</v>
      </c>
      <c r="R21" s="29">
        <f t="shared" si="15"/>
        <v>15.847</v>
      </c>
      <c r="S21" s="30">
        <f t="shared" si="8"/>
        <v>0.300333333333333</v>
      </c>
      <c r="T21" s="30">
        <f t="shared" si="9"/>
        <v>1</v>
      </c>
      <c r="U21" s="31"/>
      <c r="V21" s="32">
        <v>17.01</v>
      </c>
      <c r="W21" s="45">
        <v>53</v>
      </c>
      <c r="X21" s="45">
        <v>44</v>
      </c>
      <c r="Y21" s="45">
        <v>40</v>
      </c>
      <c r="Z21" s="34">
        <f t="shared" si="13"/>
        <v>15.5466666666667</v>
      </c>
      <c r="AA21" s="34">
        <f t="shared" si="14"/>
        <v>3.91776</v>
      </c>
      <c r="AB21" s="34">
        <f t="shared" si="10"/>
        <v>714.42</v>
      </c>
      <c r="AC21" s="34">
        <f t="shared" si="11"/>
        <v>652.96</v>
      </c>
      <c r="AD21" s="34">
        <f t="shared" si="12"/>
        <v>714</v>
      </c>
      <c r="AE21" s="35"/>
      <c r="AF21" s="36"/>
      <c r="AG21" s="46">
        <v>16.38</v>
      </c>
      <c r="AH21" s="47">
        <v>52.5</v>
      </c>
      <c r="AI21" s="47">
        <v>40</v>
      </c>
      <c r="AJ21" s="47">
        <v>43</v>
      </c>
    </row>
    <row r="22" ht="15.6" customHeight="1" spans="1:36">
      <c r="A22" s="21"/>
      <c r="B22" s="42"/>
      <c r="C22" s="42"/>
      <c r="D22" s="23"/>
      <c r="E22" s="23"/>
      <c r="F22" s="23"/>
      <c r="G22" s="42" t="s">
        <v>75</v>
      </c>
      <c r="H22" s="42" t="s">
        <v>76</v>
      </c>
      <c r="I22" s="43"/>
      <c r="J22" s="25" t="s">
        <v>84</v>
      </c>
      <c r="K22" s="26" t="s">
        <v>85</v>
      </c>
      <c r="L22" s="39"/>
      <c r="M22" s="28">
        <v>25</v>
      </c>
      <c r="N22" s="28">
        <v>15.4</v>
      </c>
      <c r="O22" s="28">
        <v>53.2</v>
      </c>
      <c r="P22" s="28">
        <v>43</v>
      </c>
      <c r="Q22" s="28">
        <v>40.5</v>
      </c>
      <c r="R22" s="29">
        <f t="shared" si="15"/>
        <v>15.4413</v>
      </c>
      <c r="S22" s="30">
        <f t="shared" si="8"/>
        <v>-1.90203333333333</v>
      </c>
      <c r="T22" s="30">
        <f t="shared" si="9"/>
        <v>-5.30000000000001</v>
      </c>
      <c r="U22" s="31" t="s">
        <v>86</v>
      </c>
      <c r="V22" s="44">
        <v>15.12</v>
      </c>
      <c r="W22" s="47">
        <v>55</v>
      </c>
      <c r="X22" s="47">
        <v>43</v>
      </c>
      <c r="Y22" s="47">
        <v>44</v>
      </c>
      <c r="Z22" s="49">
        <f t="shared" si="13"/>
        <v>17.3433333333333</v>
      </c>
      <c r="AA22" s="34">
        <f t="shared" si="14"/>
        <v>2.6015</v>
      </c>
      <c r="AB22" s="34">
        <f t="shared" si="10"/>
        <v>378</v>
      </c>
      <c r="AC22" s="34">
        <f t="shared" si="11"/>
        <v>433.583333333333</v>
      </c>
      <c r="AD22" s="34">
        <f t="shared" si="12"/>
        <v>434</v>
      </c>
      <c r="AE22" s="35"/>
      <c r="AF22" s="36"/>
      <c r="AG22" s="46">
        <v>15.12</v>
      </c>
      <c r="AH22" s="47">
        <v>54.5</v>
      </c>
      <c r="AI22" s="47">
        <v>41.5</v>
      </c>
      <c r="AJ22" s="47">
        <v>44</v>
      </c>
    </row>
    <row r="23" ht="15.6" customHeight="1" spans="1:36">
      <c r="A23" s="21" t="s">
        <v>87</v>
      </c>
      <c r="B23" s="42" t="s">
        <v>72</v>
      </c>
      <c r="C23" s="42" t="s">
        <v>73</v>
      </c>
      <c r="D23" s="23" t="s">
        <v>88</v>
      </c>
      <c r="E23" s="23">
        <v>12.5</v>
      </c>
      <c r="F23" s="23">
        <v>10.5</v>
      </c>
      <c r="G23" s="42" t="s">
        <v>75</v>
      </c>
      <c r="H23" s="42" t="s">
        <v>76</v>
      </c>
      <c r="I23" s="43"/>
      <c r="J23" s="25" t="s">
        <v>89</v>
      </c>
      <c r="K23" s="26" t="s">
        <v>57</v>
      </c>
      <c r="L23" s="39"/>
      <c r="M23" s="28">
        <v>2</v>
      </c>
      <c r="N23" s="28">
        <v>15.15</v>
      </c>
      <c r="O23" s="28">
        <v>51.5</v>
      </c>
      <c r="P23" s="28">
        <v>51.5</v>
      </c>
      <c r="Q23" s="28">
        <v>35.5</v>
      </c>
      <c r="R23" s="29">
        <f t="shared" si="15"/>
        <v>15.6924791666667</v>
      </c>
      <c r="S23" s="30">
        <f t="shared" si="8"/>
        <v>-1.47952083333333</v>
      </c>
      <c r="T23" s="30">
        <f t="shared" si="9"/>
        <v>-4.5</v>
      </c>
      <c r="U23" s="31"/>
      <c r="V23" s="33">
        <v>14.85</v>
      </c>
      <c r="W23" s="45">
        <v>54</v>
      </c>
      <c r="X23" s="45">
        <v>53</v>
      </c>
      <c r="Y23" s="45">
        <v>36</v>
      </c>
      <c r="Z23" s="34">
        <f t="shared" si="13"/>
        <v>17.172</v>
      </c>
      <c r="AA23" s="34">
        <f t="shared" si="14"/>
        <v>0.206064</v>
      </c>
      <c r="AB23" s="34">
        <f t="shared" si="10"/>
        <v>29.7</v>
      </c>
      <c r="AC23" s="34">
        <f t="shared" si="11"/>
        <v>34.344</v>
      </c>
      <c r="AD23" s="34">
        <f t="shared" si="12"/>
        <v>34</v>
      </c>
      <c r="AE23" s="35"/>
      <c r="AF23" s="36"/>
      <c r="AG23" s="46">
        <v>16.65</v>
      </c>
      <c r="AH23" s="47">
        <v>53</v>
      </c>
      <c r="AI23" s="47">
        <v>35</v>
      </c>
      <c r="AJ23" s="47">
        <v>53</v>
      </c>
    </row>
    <row r="24" ht="15.6" customHeight="1" spans="1:36">
      <c r="A24" s="21" t="s">
        <v>87</v>
      </c>
      <c r="B24" s="42"/>
      <c r="C24" s="42"/>
      <c r="D24" s="23"/>
      <c r="E24" s="23"/>
      <c r="F24" s="23"/>
      <c r="G24" s="42" t="s">
        <v>75</v>
      </c>
      <c r="H24" s="42" t="s">
        <v>76</v>
      </c>
      <c r="I24" s="43"/>
      <c r="J24" s="25" t="s">
        <v>90</v>
      </c>
      <c r="K24" s="26" t="s">
        <v>91</v>
      </c>
      <c r="L24" s="41"/>
      <c r="M24" s="28">
        <v>4</v>
      </c>
      <c r="N24" s="28">
        <v>17.5</v>
      </c>
      <c r="O24" s="28">
        <v>48.3</v>
      </c>
      <c r="P24" s="28">
        <v>48.3</v>
      </c>
      <c r="Q24" s="28">
        <v>39.3</v>
      </c>
      <c r="R24" s="29">
        <f t="shared" si="15"/>
        <v>15.2804295</v>
      </c>
      <c r="S24" s="30">
        <f t="shared" si="8"/>
        <v>-1.05290383333333</v>
      </c>
      <c r="T24" s="30">
        <f t="shared" si="9"/>
        <v>-3.10000000000002</v>
      </c>
      <c r="U24" s="31" t="s">
        <v>92</v>
      </c>
      <c r="V24" s="48">
        <v>17.8</v>
      </c>
      <c r="W24" s="45">
        <v>49</v>
      </c>
      <c r="X24" s="45">
        <v>40</v>
      </c>
      <c r="Y24" s="45">
        <v>50</v>
      </c>
      <c r="Z24" s="34">
        <f t="shared" si="13"/>
        <v>16.3333333333333</v>
      </c>
      <c r="AA24" s="34">
        <f t="shared" si="14"/>
        <v>0.392</v>
      </c>
      <c r="AB24" s="34">
        <f t="shared" si="10"/>
        <v>71.2</v>
      </c>
      <c r="AC24" s="34">
        <f t="shared" si="11"/>
        <v>65.3333333333333</v>
      </c>
      <c r="AD24" s="34">
        <f t="shared" si="12"/>
        <v>71</v>
      </c>
      <c r="AE24" s="35"/>
      <c r="AF24" s="36"/>
      <c r="AG24" s="46">
        <v>17.25</v>
      </c>
      <c r="AH24" s="47">
        <v>49</v>
      </c>
      <c r="AI24" s="47">
        <v>40</v>
      </c>
      <c r="AJ24" s="47">
        <v>50</v>
      </c>
    </row>
  </sheetData>
  <autoFilter xmlns:etc="http://www.wps.cn/officeDocument/2017/etCustomData" ref="A1:AK24" etc:filterBottomFollowUsedRange="0">
    <extLst/>
  </autoFilter>
  <mergeCells count="50">
    <mergeCell ref="A2:A5"/>
    <mergeCell ref="A6:A9"/>
    <mergeCell ref="A10:A17"/>
    <mergeCell ref="A18:A19"/>
    <mergeCell ref="A20:A22"/>
    <mergeCell ref="A23:A24"/>
    <mergeCell ref="B2:B5"/>
    <mergeCell ref="B6:B9"/>
    <mergeCell ref="B10:B17"/>
    <mergeCell ref="B18:B19"/>
    <mergeCell ref="B20:B22"/>
    <mergeCell ref="B23:B24"/>
    <mergeCell ref="C2:C5"/>
    <mergeCell ref="C6:C9"/>
    <mergeCell ref="C10:C17"/>
    <mergeCell ref="C18:C19"/>
    <mergeCell ref="C20:C22"/>
    <mergeCell ref="C23:C24"/>
    <mergeCell ref="D2:D5"/>
    <mergeCell ref="D6:D9"/>
    <mergeCell ref="D10:D17"/>
    <mergeCell ref="D18:D19"/>
    <mergeCell ref="D20:D22"/>
    <mergeCell ref="D23:D24"/>
    <mergeCell ref="E2:E5"/>
    <mergeCell ref="E6:E9"/>
    <mergeCell ref="E10:E17"/>
    <mergeCell ref="E18:E19"/>
    <mergeCell ref="E20:E22"/>
    <mergeCell ref="E23:E24"/>
    <mergeCell ref="F2:F5"/>
    <mergeCell ref="F6:F9"/>
    <mergeCell ref="F10:F17"/>
    <mergeCell ref="F18:F19"/>
    <mergeCell ref="F20:F22"/>
    <mergeCell ref="F23:F24"/>
    <mergeCell ref="G2:G5"/>
    <mergeCell ref="G6:G9"/>
    <mergeCell ref="G10:G17"/>
    <mergeCell ref="G18:G19"/>
    <mergeCell ref="G20:G22"/>
    <mergeCell ref="G23:G24"/>
    <mergeCell ref="H2:H5"/>
    <mergeCell ref="H6:H9"/>
    <mergeCell ref="H10:H17"/>
    <mergeCell ref="H18:H19"/>
    <mergeCell ref="H20:H22"/>
    <mergeCell ref="H23:H24"/>
    <mergeCell ref="L2:L17"/>
    <mergeCell ref="L18:L24"/>
  </mergeCells>
  <pageMargins left="0.7" right="0.7" top="0.75" bottom="0.75" header="0.3" footer="0.3"/>
  <pageSetup paperSize="9" orientation="portrait" verticalDpi="7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2025-09-18T15:08:00Z</dcterms:created>
  <dcterms:modified xsi:type="dcterms:W3CDTF">2026-06-10T16:19:37Z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5EC65238A60D9F80191E296A5509D0FF_43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