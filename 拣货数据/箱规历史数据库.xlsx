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80" windowHeight="10720"/>
  </bookViews>
  <sheets>
    <sheet name="精选版" sheetId="2" r:id="rId1"/>
  </sheets>
  <definedNames>
    <definedName name="_xlnm._FilterDatabase" localSheetId="0" hidden="1">精选版!$A$2:$I$29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钱妙妙</author>
  </authors>
  <commentList>
    <comment ref="C2" authorId="0">
      <text>
        <r>
          <rPr>
            <b/>
            <sz val="32"/>
            <rFont val="宋体"/>
            <charset val="134"/>
          </rPr>
          <t>I-O列（客户货箱长宽高+客户货箱实重+差异）、Y-Z列（成本+过机图）、AE列（总成本），在给客户看的版本可以删掉</t>
        </r>
        <r>
          <rPr>
            <sz val="18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<sst xmlns="http://schemas.openxmlformats.org/spreadsheetml/2006/main" count="39" uniqueCount="25">
  <si>
    <t>客户箱规</t>
  </si>
  <si>
    <t>标准箱规</t>
  </si>
  <si>
    <t>中文品名/英文品名</t>
  </si>
  <si>
    <t>实重</t>
  </si>
  <si>
    <t>长(CM)</t>
  </si>
  <si>
    <t>宽(CM)</t>
  </si>
  <si>
    <t>高(CM)</t>
  </si>
  <si>
    <t>水波纹灯</t>
  </si>
  <si>
    <t>魔钻投影灯</t>
  </si>
  <si>
    <t>水母投影灯</t>
  </si>
  <si>
    <t>魔法球投影灯</t>
  </si>
  <si>
    <t>恐龙蛋投影灯</t>
  </si>
  <si>
    <t>趴趴兔伴睡灯</t>
  </si>
  <si>
    <t>海蓝星水波纹投影灯</t>
  </si>
  <si>
    <t>折叠台灯</t>
  </si>
  <si>
    <t>旋转小屋投影灯</t>
  </si>
  <si>
    <t>高清投影灯</t>
  </si>
  <si>
    <t>有照片，客户数据有问题</t>
  </si>
  <si>
    <t>冰川极光投影灯</t>
  </si>
  <si>
    <t>梦影独角兽硅胶灯</t>
  </si>
  <si>
    <t>月光兔投影灯</t>
  </si>
  <si>
    <t>母婴安睡灯</t>
  </si>
  <si>
    <t>水晶台灯</t>
  </si>
  <si>
    <t>水晶灯</t>
  </si>
  <si>
    <t>北极光灯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</si>
</sst>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_ ;[Red]\-0\ "/>
    <numFmt numFmtId="178" formatCode="0.00_);[Red]\(0.00\)"/>
    <numFmt numFmtId="179" formatCode="0_);[Red]\(0\)"/>
    <numFmt numFmtId="180" formatCode="0.00_ "/>
    <numFmt numFmtId="181" formatCode="0_ "/>
  </numFmts>
  <fonts count="28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name val="宋体"/>
      <charset val="134"/>
    </font>
    <font>
      <b/>
      <sz val="3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/>
    <xf numFmtId="0" fontId="4" fillId="6" borderId="1" xfId="0" applyFont="1" applyFill="1" applyBorder="1" applyAlignment="1" applyProtection="1">
      <alignment horizontal="center"/>
    </xf>
    <xf numFmtId="0" fontId="5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 applyProtection="1">
      <alignment horizontal="center" vertical="center"/>
    </xf>
    <xf numFmtId="177" fontId="6" fillId="4" borderId="1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/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80" fontId="4" fillId="6" borderId="1" xfId="0" applyNumberFormat="1" applyFont="1" applyFill="1" applyBorder="1" applyAlignment="1" applyProtection="1">
      <alignment horizontal="center"/>
    </xf>
    <xf numFmtId="180" fontId="6" fillId="6" borderId="1" xfId="0" applyNumberFormat="1" applyFont="1" applyFill="1" applyBorder="1" applyAlignment="1">
      <alignment horizontal="center" vertical="center"/>
    </xf>
    <xf numFmtId="181" fontId="6" fillId="6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R21" sqref="R21"/>
    </sheetView>
  </sheetViews>
  <sheetFormatPr defaultColWidth="8.88461538461539" defaultRowHeight="16.8"/>
  <cols>
    <col min="1" max="1" width="21.3365384615385" customWidth="1"/>
    <col min="13" max="13" width="12.8846153846154"/>
  </cols>
  <sheetData>
    <row r="1" spans="1:10">
      <c r="B1" s="3" t="s">
        <v>0</v>
      </c>
      <c r="C1" s="3"/>
      <c r="D1" s="3"/>
      <c r="E1" s="3"/>
      <c r="F1" s="4" t="s">
        <v>1</v>
      </c>
      <c r="G1" s="4"/>
      <c r="H1" s="4"/>
      <c r="I1" s="4"/>
    </row>
    <row r="2" spans="1:10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3</v>
      </c>
      <c r="G2" s="6" t="s">
        <v>4</v>
      </c>
      <c r="H2" s="6" t="s">
        <v>5</v>
      </c>
      <c r="I2" s="6" t="s">
        <v>6</v>
      </c>
    </row>
    <row r="3" s="1" customFormat="1" spans="1:10">
      <c r="A3" s="7" t="s">
        <v>7</v>
      </c>
      <c r="B3" s="8">
        <v>14.5</v>
      </c>
      <c r="C3" s="8">
        <v>43.8</v>
      </c>
      <c r="D3" s="8">
        <v>39.6</v>
      </c>
      <c r="E3" s="8">
        <v>39.6</v>
      </c>
      <c r="F3" s="9">
        <v>14.8</v>
      </c>
      <c r="G3" s="9">
        <v>46</v>
      </c>
      <c r="H3" s="9">
        <v>41</v>
      </c>
      <c r="I3" s="9">
        <v>41</v>
      </c>
    </row>
    <row r="4" s="1" customFormat="1" spans="1:10">
      <c r="A4" s="7" t="s">
        <v>8</v>
      </c>
      <c r="B4" s="8">
        <v>19.7</v>
      </c>
      <c r="C4" s="8">
        <v>56.5</v>
      </c>
      <c r="D4" s="8">
        <v>56</v>
      </c>
      <c r="E4" s="8">
        <v>41</v>
      </c>
      <c r="F4" s="9">
        <v>20.15</v>
      </c>
      <c r="G4" s="9">
        <v>59</v>
      </c>
      <c r="H4" s="9">
        <v>58</v>
      </c>
      <c r="I4" s="9">
        <v>41</v>
      </c>
    </row>
    <row r="5" s="1" customFormat="1" spans="1:10">
      <c r="A5" s="7" t="s">
        <v>9</v>
      </c>
      <c r="B5" s="8">
        <v>16.5</v>
      </c>
      <c r="C5" s="8">
        <v>52.3</v>
      </c>
      <c r="D5" s="8">
        <v>43.3</v>
      </c>
      <c r="E5" s="8">
        <v>39.6</v>
      </c>
      <c r="F5" s="9">
        <v>17.99</v>
      </c>
      <c r="G5" s="9">
        <v>54</v>
      </c>
      <c r="H5" s="9">
        <v>41</v>
      </c>
      <c r="I5" s="9">
        <v>44</v>
      </c>
    </row>
    <row r="6" s="1" customFormat="1" spans="1:10">
      <c r="A6" s="7" t="s">
        <v>10</v>
      </c>
      <c r="B6" s="8">
        <v>15.15</v>
      </c>
      <c r="C6" s="8">
        <v>51.5</v>
      </c>
      <c r="D6" s="8">
        <v>51.5</v>
      </c>
      <c r="E6" s="8">
        <v>35.5</v>
      </c>
      <c r="F6" s="9">
        <v>14.85</v>
      </c>
      <c r="G6" s="9">
        <v>54</v>
      </c>
      <c r="H6" s="9">
        <v>53</v>
      </c>
      <c r="I6" s="9">
        <v>37</v>
      </c>
    </row>
    <row r="7" s="1" customFormat="1" spans="1:10">
      <c r="A7" s="7" t="s">
        <v>11</v>
      </c>
      <c r="B7" s="8">
        <v>18.21</v>
      </c>
      <c r="C7" s="8">
        <v>51.2</v>
      </c>
      <c r="D7" s="8">
        <v>51.2</v>
      </c>
      <c r="E7" s="8">
        <v>46.5</v>
      </c>
      <c r="F7" s="9">
        <v>16.66</v>
      </c>
      <c r="G7" s="9">
        <v>54</v>
      </c>
      <c r="H7" s="9">
        <v>53</v>
      </c>
      <c r="I7" s="9">
        <v>47</v>
      </c>
    </row>
    <row r="8" s="1" customFormat="1" spans="1:10">
      <c r="A8" s="7" t="s">
        <v>12</v>
      </c>
      <c r="B8" s="8">
        <v>16.16</v>
      </c>
      <c r="C8" s="8">
        <v>50.2</v>
      </c>
      <c r="D8" s="8">
        <v>45.1</v>
      </c>
      <c r="E8" s="8">
        <v>44.2</v>
      </c>
      <c r="F8" s="9">
        <v>16.22</v>
      </c>
      <c r="G8" s="9">
        <v>52</v>
      </c>
      <c r="H8" s="9">
        <v>46</v>
      </c>
      <c r="I8" s="9">
        <v>46</v>
      </c>
    </row>
    <row r="9" s="1" customFormat="1" spans="1:10">
      <c r="A9" s="7" t="s">
        <v>13</v>
      </c>
      <c r="B9" s="8">
        <v>18.21</v>
      </c>
      <c r="C9" s="8">
        <v>51.2</v>
      </c>
      <c r="D9" s="8">
        <v>51.2</v>
      </c>
      <c r="E9" s="8">
        <v>46.5</v>
      </c>
      <c r="F9" s="9">
        <v>18.21</v>
      </c>
      <c r="G9" s="9">
        <v>54</v>
      </c>
      <c r="H9" s="9">
        <v>53</v>
      </c>
      <c r="I9" s="9">
        <v>47</v>
      </c>
    </row>
    <row r="10" s="1" customFormat="1" spans="1:10">
      <c r="A10" s="7" t="s">
        <v>11</v>
      </c>
      <c r="B10" s="8">
        <v>16.8</v>
      </c>
      <c r="C10" s="8">
        <v>46</v>
      </c>
      <c r="D10" s="8">
        <v>39</v>
      </c>
      <c r="E10" s="8">
        <v>53</v>
      </c>
      <c r="F10" s="9">
        <v>16.8</v>
      </c>
      <c r="G10" s="9">
        <v>53</v>
      </c>
      <c r="H10" s="9">
        <v>42</v>
      </c>
      <c r="I10" s="9">
        <v>43</v>
      </c>
    </row>
    <row r="11" s="1" customFormat="1" spans="1:10">
      <c r="A11" s="7" t="s">
        <v>7</v>
      </c>
      <c r="B11" s="8">
        <v>15.15</v>
      </c>
      <c r="C11" s="8">
        <v>51.5</v>
      </c>
      <c r="D11" s="8">
        <v>51.5</v>
      </c>
      <c r="E11" s="8">
        <v>35.5</v>
      </c>
      <c r="F11" s="10">
        <v>16.65</v>
      </c>
      <c r="G11" s="11">
        <v>53</v>
      </c>
      <c r="H11" s="11">
        <v>53</v>
      </c>
      <c r="I11" s="11">
        <v>36</v>
      </c>
    </row>
    <row r="12" s="1" customFormat="1" spans="1:10">
      <c r="A12" s="7" t="s">
        <v>10</v>
      </c>
      <c r="B12" s="8">
        <v>14.5</v>
      </c>
      <c r="C12" s="8">
        <v>43.8</v>
      </c>
      <c r="D12" s="8">
        <v>39.6</v>
      </c>
      <c r="E12" s="8">
        <v>39.6</v>
      </c>
      <c r="F12" s="9">
        <v>14.85</v>
      </c>
      <c r="G12" s="9">
        <v>45</v>
      </c>
      <c r="H12" s="9">
        <v>41</v>
      </c>
      <c r="I12" s="9">
        <v>41</v>
      </c>
    </row>
    <row r="13" s="1" customFormat="1" spans="1:10">
      <c r="A13" s="7" t="s">
        <v>14</v>
      </c>
      <c r="B13" s="8">
        <v>14.93</v>
      </c>
      <c r="C13" s="8">
        <v>48.5</v>
      </c>
      <c r="D13" s="8">
        <v>48</v>
      </c>
      <c r="E13" s="8">
        <v>34.2</v>
      </c>
      <c r="F13" s="10">
        <v>15.5</v>
      </c>
      <c r="G13" s="11">
        <v>50</v>
      </c>
      <c r="H13" s="11">
        <v>49</v>
      </c>
      <c r="I13" s="11">
        <v>36</v>
      </c>
    </row>
    <row r="14" s="1" customFormat="1" spans="1:10">
      <c r="A14" s="7" t="s">
        <v>15</v>
      </c>
      <c r="B14" s="8">
        <v>15.4</v>
      </c>
      <c r="C14" s="8">
        <v>53.2</v>
      </c>
      <c r="D14" s="8">
        <v>43</v>
      </c>
      <c r="E14" s="8">
        <v>40.5</v>
      </c>
      <c r="F14" s="10">
        <v>15.12</v>
      </c>
      <c r="G14" s="11">
        <v>55</v>
      </c>
      <c r="H14" s="11">
        <v>44</v>
      </c>
      <c r="I14" s="11">
        <v>43</v>
      </c>
    </row>
    <row r="15" s="1" customFormat="1" spans="1:10">
      <c r="A15" s="7" t="s">
        <v>16</v>
      </c>
      <c r="B15" s="8">
        <v>17.5</v>
      </c>
      <c r="C15" s="8">
        <v>48.3</v>
      </c>
      <c r="D15" s="8">
        <v>48.3</v>
      </c>
      <c r="E15" s="8">
        <v>39.3</v>
      </c>
      <c r="F15" s="10">
        <v>17.8</v>
      </c>
      <c r="G15" s="11">
        <v>51</v>
      </c>
      <c r="H15" s="11">
        <v>50</v>
      </c>
      <c r="I15" s="11">
        <v>41</v>
      </c>
    </row>
    <row r="16" s="1" customFormat="1" spans="1:10">
      <c r="A16" s="12" t="s">
        <v>16</v>
      </c>
      <c r="B16" s="13">
        <v>16.91</v>
      </c>
      <c r="C16" s="14">
        <v>48.3</v>
      </c>
      <c r="D16" s="14">
        <v>42</v>
      </c>
      <c r="E16" s="14">
        <v>39.3</v>
      </c>
      <c r="F16" s="15">
        <v>16.96</v>
      </c>
      <c r="G16" s="16">
        <v>51</v>
      </c>
      <c r="H16" s="16">
        <v>50</v>
      </c>
      <c r="I16" s="16">
        <v>41</v>
      </c>
      <c r="J16" s="1" t="s">
        <v>17</v>
      </c>
    </row>
    <row r="17" s="2" customFormat="1" ht="13.6" spans="1:9">
      <c r="A17" s="12" t="s">
        <v>18</v>
      </c>
      <c r="B17" s="13">
        <v>16.5</v>
      </c>
      <c r="C17" s="13">
        <v>56.5</v>
      </c>
      <c r="D17" s="13">
        <v>49.5</v>
      </c>
      <c r="E17" s="13">
        <v>45.1</v>
      </c>
      <c r="F17" s="15">
        <v>16.78</v>
      </c>
      <c r="G17" s="15">
        <v>59</v>
      </c>
      <c r="H17" s="15">
        <v>51</v>
      </c>
      <c r="I17" s="15">
        <v>47</v>
      </c>
    </row>
    <row r="18" s="2" customFormat="1" ht="13.6" spans="1:9">
      <c r="A18" s="7" t="s">
        <v>14</v>
      </c>
      <c r="B18" s="8">
        <v>14.93</v>
      </c>
      <c r="C18" s="8">
        <v>48.5</v>
      </c>
      <c r="D18" s="8">
        <v>48</v>
      </c>
      <c r="E18" s="8">
        <v>34.2</v>
      </c>
      <c r="F18" s="15">
        <v>15.5</v>
      </c>
      <c r="G18" s="15">
        <v>49</v>
      </c>
      <c r="H18" s="15">
        <v>50</v>
      </c>
      <c r="I18" s="15">
        <v>36</v>
      </c>
    </row>
    <row r="19" s="2" customFormat="1" ht="13.6" spans="1:9">
      <c r="A19" s="7" t="s">
        <v>19</v>
      </c>
      <c r="B19" s="8">
        <v>20.1</v>
      </c>
      <c r="C19" s="8">
        <v>53</v>
      </c>
      <c r="D19" s="8">
        <v>52.5</v>
      </c>
      <c r="E19" s="8">
        <v>46</v>
      </c>
      <c r="F19" s="15">
        <f>160.5/8</f>
        <v>20.0625</v>
      </c>
      <c r="G19" s="15">
        <v>54</v>
      </c>
      <c r="H19" s="15">
        <v>48</v>
      </c>
      <c r="I19" s="15">
        <v>54</v>
      </c>
    </row>
    <row r="20" s="2" customFormat="1" ht="13.6" spans="1:9">
      <c r="A20" s="7" t="s">
        <v>14</v>
      </c>
      <c r="B20" s="8">
        <v>14.93</v>
      </c>
      <c r="C20" s="8">
        <v>48.5</v>
      </c>
      <c r="D20" s="8">
        <v>48</v>
      </c>
      <c r="E20" s="8">
        <v>34.2</v>
      </c>
      <c r="F20" s="15">
        <v>15.5</v>
      </c>
      <c r="G20" s="15">
        <v>49</v>
      </c>
      <c r="H20" s="15">
        <v>50</v>
      </c>
      <c r="I20" s="15">
        <v>36</v>
      </c>
    </row>
    <row r="21" s="2" customFormat="1" ht="13.6" spans="1:9">
      <c r="A21" s="7" t="s">
        <v>14</v>
      </c>
      <c r="B21" s="8">
        <v>14.93</v>
      </c>
      <c r="C21" s="8">
        <v>48.5</v>
      </c>
      <c r="D21" s="8">
        <v>48</v>
      </c>
      <c r="E21" s="8">
        <v>34.2</v>
      </c>
      <c r="F21" s="15">
        <v>15.5</v>
      </c>
      <c r="G21" s="15">
        <v>49</v>
      </c>
      <c r="H21" s="15">
        <v>50</v>
      </c>
      <c r="I21" s="15">
        <v>36</v>
      </c>
    </row>
    <row r="22" s="2" customFormat="1" ht="13.6" spans="1:9">
      <c r="A22" s="7" t="s">
        <v>14</v>
      </c>
      <c r="B22" s="8">
        <v>14.93</v>
      </c>
      <c r="C22" s="8">
        <v>48.5</v>
      </c>
      <c r="D22" s="8">
        <v>48</v>
      </c>
      <c r="E22" s="8">
        <v>34.2</v>
      </c>
      <c r="F22" s="15">
        <v>15.5</v>
      </c>
      <c r="G22" s="15">
        <v>49</v>
      </c>
      <c r="H22" s="15">
        <v>50</v>
      </c>
      <c r="I22" s="15">
        <v>36</v>
      </c>
    </row>
    <row r="23" s="2" customFormat="1" ht="13.6" spans="1:9">
      <c r="A23" s="7" t="s">
        <v>20</v>
      </c>
      <c r="B23" s="8">
        <v>16.3</v>
      </c>
      <c r="C23" s="8">
        <v>55.2</v>
      </c>
      <c r="D23" s="8">
        <v>42.3</v>
      </c>
      <c r="E23" s="8">
        <v>42.3</v>
      </c>
      <c r="F23" s="15">
        <f>193/12</f>
        <v>16.0833333333333</v>
      </c>
      <c r="G23" s="15">
        <v>57</v>
      </c>
      <c r="H23" s="15">
        <v>44</v>
      </c>
      <c r="I23" s="15">
        <v>44</v>
      </c>
    </row>
    <row r="24" s="2" customFormat="1" ht="13.6" spans="1:9">
      <c r="A24" s="7" t="s">
        <v>21</v>
      </c>
      <c r="B24" s="17">
        <v>19</v>
      </c>
      <c r="C24" s="8">
        <v>60.2</v>
      </c>
      <c r="D24" s="8">
        <v>50</v>
      </c>
      <c r="E24" s="8">
        <v>45.5</v>
      </c>
      <c r="F24" s="15">
        <f>55.5/3</f>
        <v>18.5</v>
      </c>
      <c r="G24" s="15">
        <v>61</v>
      </c>
      <c r="H24" s="15">
        <v>48</v>
      </c>
      <c r="I24" s="15">
        <v>51</v>
      </c>
    </row>
    <row r="25" s="2" customFormat="1" ht="13.6" spans="1:9">
      <c r="A25" s="12" t="s">
        <v>22</v>
      </c>
      <c r="B25" s="13">
        <v>6.15</v>
      </c>
      <c r="C25" s="13">
        <v>48</v>
      </c>
      <c r="D25" s="13">
        <v>46.5</v>
      </c>
      <c r="E25" s="13">
        <v>35</v>
      </c>
      <c r="F25" s="15">
        <v>6.55</v>
      </c>
      <c r="G25" s="15">
        <v>49</v>
      </c>
      <c r="H25" s="15">
        <v>48</v>
      </c>
      <c r="I25" s="15">
        <v>38</v>
      </c>
    </row>
    <row r="26" s="2" customFormat="1" ht="13.6" spans="1:9">
      <c r="A26" s="12" t="s">
        <v>23</v>
      </c>
      <c r="B26" s="13">
        <v>7.72</v>
      </c>
      <c r="C26" s="13">
        <v>48.5</v>
      </c>
      <c r="D26" s="13">
        <v>48.5</v>
      </c>
      <c r="E26" s="13">
        <v>34</v>
      </c>
      <c r="F26" s="15">
        <v>7.52</v>
      </c>
      <c r="G26" s="15">
        <v>50</v>
      </c>
      <c r="H26" s="15">
        <v>50</v>
      </c>
      <c r="I26" s="15">
        <v>36</v>
      </c>
    </row>
    <row r="27" s="2" customFormat="1" ht="13.6" spans="1:9">
      <c r="A27" s="12" t="s">
        <v>24</v>
      </c>
      <c r="B27" s="13">
        <v>15.21</v>
      </c>
      <c r="C27" s="13">
        <v>47.4</v>
      </c>
      <c r="D27" s="13">
        <v>42.4</v>
      </c>
      <c r="E27" s="13">
        <v>42.2</v>
      </c>
      <c r="F27" s="15">
        <v>16.19</v>
      </c>
      <c r="G27" s="15">
        <v>50</v>
      </c>
      <c r="H27" s="15">
        <v>44</v>
      </c>
      <c r="I27" s="15">
        <v>43</v>
      </c>
    </row>
    <row r="28" s="2" customFormat="1" ht="13.6" spans="1:9">
      <c r="A28" s="12" t="s">
        <v>13</v>
      </c>
      <c r="B28" s="18">
        <v>16.91</v>
      </c>
      <c r="C28" s="19">
        <v>53</v>
      </c>
      <c r="D28" s="19">
        <v>46</v>
      </c>
      <c r="E28" s="19">
        <v>39</v>
      </c>
      <c r="F28" s="20">
        <v>15.58</v>
      </c>
      <c r="G28" s="21">
        <v>54</v>
      </c>
      <c r="H28" s="21">
        <v>45</v>
      </c>
      <c r="I28" s="21">
        <v>42</v>
      </c>
    </row>
    <row r="29" s="2" customFormat="1" ht="13.6" spans="1:9">
      <c r="A29" s="12" t="s">
        <v>24</v>
      </c>
      <c r="B29" s="13">
        <v>15.72</v>
      </c>
      <c r="C29" s="13">
        <v>49.5</v>
      </c>
      <c r="D29" s="13">
        <v>49.5</v>
      </c>
      <c r="E29" s="13">
        <v>37.4</v>
      </c>
      <c r="F29" s="15">
        <v>15.72</v>
      </c>
      <c r="G29" s="15">
        <v>52</v>
      </c>
      <c r="H29" s="15">
        <v>51</v>
      </c>
      <c r="I29" s="15">
        <v>39</v>
      </c>
    </row>
  </sheetData>
  <autoFilter xmlns:etc="http://www.wps.cn/officeDocument/2017/etCustomData" ref="A2:I29" etc:filterBottomFollowUsedRange="0">
    <extLst/>
  </autoFilter>
  <mergeCells count="2">
    <mergeCell ref="B1:E1"/>
    <mergeCell ref="F1:I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精选版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2026-06-10T15:21:00Z</dcterms:created>
  <dcterms:modified xsi:type="dcterms:W3CDTF">2026-06-10T16:15:16Z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225746D5856148F5B25A577AF0C5FE15_13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