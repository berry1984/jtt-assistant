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40"/>
  </bookViews>
  <sheets>
    <sheet name="原始账单" sheetId="2" r:id="rId1"/>
    <sheet name="整理后应付人民币" sheetId="3" state="hidden" r:id="rId2"/>
    <sheet name="整理应付美金" sheetId="4" state="hidden" r:id="rId3"/>
  </sheets>
  <externalReferences>
    <externalReference r:id="rId5"/>
  </externalReferences>
  <definedNames>
    <definedName name="_xlnm._FilterDatabase" localSheetId="0" hidden="1">原始账单!$B$3:$AS$3</definedName>
    <definedName name="_xlnm.Print_Area" localSheetId="1">整理后应付人民币!$A$1:$AH$17</definedName>
    <definedName name="_xlnm.Print_Area" localSheetId="2">整理应付美金!$A$1:$AI$22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SIRUI100</author>
    <author>SR242</author>
  </authors>
  <commentList>
    <comment ref="AC2" authorId="0">
      <text>
        <r>
          <rPr>
            <b/>
            <sz val="9"/>
            <rFont val="宋体"/>
            <charset val="134"/>
          </rPr>
          <t>SIRUI100:</t>
        </r>
        <r>
          <rPr>
            <sz val="9"/>
            <rFont val="宋体"/>
            <charset val="134"/>
          </rPr>
          <t xml:space="preserve">
</t>
        </r>
      </text>
    </comment>
    <comment ref="AJ2" authorId="1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按子公司要求做对应外币账单</t>
        </r>
      </text>
    </comment>
    <comment ref="D3" authorId="0">
      <text>
        <r>
          <rPr>
            <b/>
            <sz val="9"/>
            <rFont val="宋体"/>
            <charset val="134"/>
          </rPr>
          <t>SIRUI100:</t>
        </r>
        <r>
          <rPr>
            <sz val="9"/>
            <rFont val="宋体"/>
            <charset val="134"/>
          </rPr>
          <t xml:space="preserve">
无运单号可不填</t>
        </r>
      </text>
    </comment>
    <comment ref="J3" authorId="1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货代不填（分类为国外市场部-非子公司；子公司分成亚马逊（备注对应国家）和子公司，如美国亚马逊/日本亚马逊</t>
        </r>
      </text>
    </comment>
    <comment ref="O3" authorId="1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计费重*单价</t>
        </r>
      </text>
    </comment>
    <comment ref="P3" authorId="1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上门提货费</t>
        </r>
      </text>
    </comment>
    <comment ref="U3" authorId="1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作为分摊国内运费基数</t>
        </r>
      </text>
    </comment>
    <comment ref="AE3" authorId="1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开票：经纪代理服务*代理运费或者经纪代理服务费*国内运费；交通运输服务*运费（注意不要出现国际字样）发票需要有税额
普通发票&amp;增值税发票都可以</t>
        </r>
      </text>
    </comment>
  </commentList>
</comments>
</file>

<file path=xl/comments2.xml><?xml version="1.0" encoding="utf-8"?>
<comments xmlns="http://schemas.openxmlformats.org/spreadsheetml/2006/main">
  <authors>
    <author>SR242</author>
    <author>82334</author>
  </authors>
  <commentList>
    <comment ref="I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货代不填（分类为国外市场部-非子公司；子公司分成亚马逊（备注对应国家）和子公司，如美国亚马逊/日本亚马逊</t>
        </r>
      </text>
    </comment>
    <comment ref="M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计费重*单价</t>
        </r>
      </text>
    </comment>
    <comment ref="N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上门提货费</t>
        </r>
      </text>
    </comment>
    <comment ref="S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作为分摊国内运费基数</t>
        </r>
      </text>
    </comment>
    <comment ref="AC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开票：经纪代理服务*代理运费或者经纪代理服务费*国内运费；交通运输服务*运费（注意不要出现国际字样）发票需要有税额</t>
        </r>
      </text>
    </comment>
    <comment ref="N9" authorId="1">
      <text>
        <r>
          <rPr>
            <b/>
            <sz val="9"/>
            <rFont val="宋体"/>
            <charset val="134"/>
          </rPr>
          <t>82334:</t>
        </r>
        <r>
          <rPr>
            <sz val="9"/>
            <rFont val="宋体"/>
            <charset val="134"/>
          </rPr>
          <t xml:space="preserve">
提货费：135.16
退货费：167.88</t>
        </r>
      </text>
    </comment>
  </commentList>
</comments>
</file>

<file path=xl/comments3.xml><?xml version="1.0" encoding="utf-8"?>
<comments xmlns="http://schemas.openxmlformats.org/spreadsheetml/2006/main">
  <authors>
    <author>SR242</author>
  </authors>
  <commentList>
    <comment ref="AG2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按子公司要求做对应外币账单</t>
        </r>
      </text>
    </comment>
    <comment ref="I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货代不填（分类为国外市场部-非子公司；子公司分成亚马逊（备注对应国家）和子公司，如美国亚马逊/日本亚马逊</t>
        </r>
      </text>
    </comment>
    <comment ref="M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计费重*单价</t>
        </r>
      </text>
    </comment>
    <comment ref="N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上门提货费</t>
        </r>
      </text>
    </comment>
    <comment ref="S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作为分摊国内运费基数</t>
        </r>
      </text>
    </comment>
    <comment ref="AC4" authorId="0">
      <text>
        <r>
          <rPr>
            <b/>
            <sz val="9"/>
            <rFont val="宋体"/>
            <charset val="134"/>
          </rPr>
          <t>SR242:</t>
        </r>
        <r>
          <rPr>
            <sz val="9"/>
            <rFont val="宋体"/>
            <charset val="134"/>
          </rPr>
          <t xml:space="preserve">
开票：经纪代理服务*代理运费或者经纪代理服务费*国内运费；交通运输服务*运费（注意不要出现国际字样）发票需要有税额</t>
        </r>
      </text>
    </comment>
  </commentList>
</comments>
</file>

<file path=xl/sharedStrings.xml><?xml version="1.0" encoding="utf-8"?>
<sst xmlns="http://schemas.openxmlformats.org/spreadsheetml/2006/main" count="629" uniqueCount="211">
  <si>
    <t>赛诺吉（深圳）国际货运代理有限公司2026年5月对账单</t>
  </si>
  <si>
    <t>账单支付</t>
  </si>
  <si>
    <t>欧元折算人民币汇率</t>
  </si>
  <si>
    <t>英镑折算欧元汇率</t>
  </si>
  <si>
    <t>人民币折算欧元汇率</t>
  </si>
  <si>
    <t>国内支付</t>
  </si>
  <si>
    <t>国外支付-折成对应海外子公司币种支付</t>
  </si>
  <si>
    <t>海外子公司采购订单号</t>
  </si>
  <si>
    <t>思锐销售订单号</t>
  </si>
  <si>
    <t>思锐FBA单号</t>
  </si>
  <si>
    <t>货代运单号</t>
  </si>
  <si>
    <t>渠道</t>
  </si>
  <si>
    <t>国家</t>
  </si>
  <si>
    <t>报关单号</t>
  </si>
  <si>
    <t>POL</t>
  </si>
  <si>
    <t>POD</t>
  </si>
  <si>
    <t>受益部门</t>
  </si>
  <si>
    <t>业务经理/仓库受益人</t>
  </si>
  <si>
    <t>件数</t>
  </si>
  <si>
    <t>计费重</t>
  </si>
  <si>
    <t>单价</t>
  </si>
  <si>
    <t>海运费</t>
  </si>
  <si>
    <t>提货费</t>
  </si>
  <si>
    <t>超品名费</t>
  </si>
  <si>
    <t>超尺寸费</t>
  </si>
  <si>
    <t>私人地址费</t>
  </si>
  <si>
    <t>其他可归属于海运的费用</t>
  </si>
  <si>
    <t>运费合计</t>
  </si>
  <si>
    <t>报关费</t>
  </si>
  <si>
    <t>报关
续页费</t>
  </si>
  <si>
    <t>报关费合计</t>
  </si>
  <si>
    <t>欧洲申报费</t>
  </si>
  <si>
    <t>清关费</t>
  </si>
  <si>
    <t>保险费</t>
  </si>
  <si>
    <t>目的港费用合计</t>
  </si>
  <si>
    <t>国内运费
（运费合计的10%）</t>
  </si>
  <si>
    <t>国内运费税费
(如有6%)</t>
  </si>
  <si>
    <t>国内运费
最终开票金额</t>
  </si>
  <si>
    <t>报关费税费税费
(如有6%)</t>
  </si>
  <si>
    <t>报关费
最终开票金额</t>
  </si>
  <si>
    <t>国内运费+报关费
最终开票金额</t>
  </si>
  <si>
    <t>国际运费
（运费合计的90%）</t>
  </si>
  <si>
    <t>欧洲申报费
（欧元）</t>
  </si>
  <si>
    <t>清关费
（欧元）</t>
  </si>
  <si>
    <t>保险费
（欧元）</t>
  </si>
  <si>
    <t>税费VAT
（欧元）</t>
  </si>
  <si>
    <t>税费关税
（欧元）</t>
  </si>
  <si>
    <t>赔偿金
（欧元）</t>
  </si>
  <si>
    <t>其他
（欧元）</t>
  </si>
  <si>
    <t>目的港费用合计
（欧元）</t>
  </si>
  <si>
    <t>105PO2026-00058/
105PO2026-00059</t>
  </si>
  <si>
    <t>101SO2603160018/
101SO2603160018 -01</t>
  </si>
  <si>
    <t>/</t>
  </si>
  <si>
    <t>JTT202603000244</t>
  </si>
  <si>
    <t>欧洲自税-海运快递派</t>
  </si>
  <si>
    <t>德国</t>
  </si>
  <si>
    <t>531620260001053709</t>
  </si>
  <si>
    <t>SHENZHEN</t>
  </si>
  <si>
    <t>GERMANY</t>
  </si>
  <si>
    <t>德国子公司</t>
  </si>
  <si>
    <t>郑猛</t>
  </si>
  <si>
    <t>105PO2026-00064</t>
  </si>
  <si>
    <t>101SO2603180038</t>
  </si>
  <si>
    <t>JTT202603000246</t>
  </si>
  <si>
    <t>531620260001053657</t>
  </si>
  <si>
    <t>101ZF2026-02511/
101ZF2026-01985</t>
  </si>
  <si>
    <t>JTT202603000247</t>
  </si>
  <si>
    <t>105PO2026-00068</t>
  </si>
  <si>
    <t>101SO2603200024</t>
  </si>
  <si>
    <t>FBA15LKTRRW3</t>
  </si>
  <si>
    <t>JTT202603000250</t>
  </si>
  <si>
    <t>欧洲自税-铁路普铁卡派</t>
  </si>
  <si>
    <t>790120260000040099</t>
  </si>
  <si>
    <t>德国BFA</t>
  </si>
  <si>
    <t>温永强</t>
  </si>
  <si>
    <t>FBA15LKTRRVG</t>
  </si>
  <si>
    <t>JTT202603000251</t>
  </si>
  <si>
    <t>105PO2026-00087</t>
  </si>
  <si>
    <t>FBA15LM7X5W2</t>
  </si>
  <si>
    <t>JTT202604000268</t>
  </si>
  <si>
    <t>英国自税-海运卡派</t>
  </si>
  <si>
    <t>英国</t>
  </si>
  <si>
    <t>531620260001208228</t>
  </si>
  <si>
    <t>THE UNITED KINGDOM</t>
  </si>
  <si>
    <t>英国BFA</t>
  </si>
  <si>
    <t>FBA15LM4CHXC</t>
  </si>
  <si>
    <t>JTT202604000269</t>
  </si>
  <si>
    <t>FBA15LM876RH</t>
  </si>
  <si>
    <t>JTT202604000270</t>
  </si>
  <si>
    <t>101SO2603260047</t>
  </si>
  <si>
    <t>FBA15LM4M5W4</t>
  </si>
  <si>
    <t>JTT202604000271</t>
  </si>
  <si>
    <t>英国自税-卡车卡派</t>
  </si>
  <si>
    <t>940420260000044422</t>
  </si>
  <si>
    <t>FBA15LM4QLHB</t>
  </si>
  <si>
    <t>JTT202604000272</t>
  </si>
  <si>
    <t>FBA15LM84XVF</t>
  </si>
  <si>
    <t>JTT202604000273</t>
  </si>
  <si>
    <t>欧洲自税-海运卡派</t>
  </si>
  <si>
    <t>531620260001220275</t>
  </si>
  <si>
    <t>待补充</t>
  </si>
  <si>
    <t>FBA15LM7Q3C6</t>
  </si>
  <si>
    <t>JTT202604000275</t>
  </si>
  <si>
    <t>FBA15LM8JFCP</t>
  </si>
  <si>
    <t>JTT202604000274</t>
  </si>
  <si>
    <t>欧洲自税-卡航卡派</t>
  </si>
  <si>
    <t>940420260000043367</t>
  </si>
  <si>
    <t>105PO2026-00094/
105PO2026-00095</t>
  </si>
  <si>
    <t>101SO2604100007 / 101SO2604100007-01</t>
  </si>
  <si>
    <t>JTT202604000294</t>
  </si>
  <si>
    <t>940420260000054726</t>
  </si>
  <si>
    <t>105PO2026-00104/
105PO2026-00105</t>
  </si>
  <si>
    <t>101SO2604200034/101SO2604200034-01</t>
  </si>
  <si>
    <t>JTT202604000297</t>
  </si>
  <si>
    <t>531620260001540955</t>
  </si>
  <si>
    <t>105PO2026-00116</t>
  </si>
  <si>
    <t>101SO2604210007</t>
  </si>
  <si>
    <t>FBA15LQ82G5W</t>
  </si>
  <si>
    <t>JTT202604000298</t>
  </si>
  <si>
    <t>531620260001657439</t>
  </si>
  <si>
    <t>FBA15LQ2YP7W</t>
  </si>
  <si>
    <t>JTT202604000299</t>
  </si>
  <si>
    <t>101SO2604210008</t>
  </si>
  <si>
    <t>FBA15LQ7RV19</t>
  </si>
  <si>
    <t>JTT202605000301</t>
  </si>
  <si>
    <t>531620260001732822</t>
  </si>
  <si>
    <t>FBA15LQ7Y7M4</t>
  </si>
  <si>
    <t>JTT202605000302</t>
  </si>
  <si>
    <t>FBA15LQFDJF2</t>
  </si>
  <si>
    <t>JTT202605000305</t>
  </si>
  <si>
    <t>FBA15LQF5HRB</t>
  </si>
  <si>
    <t>JTT202605000306</t>
  </si>
  <si>
    <t>FBA15LQ8CYS4</t>
  </si>
  <si>
    <t>JTT202605000303</t>
  </si>
  <si>
    <t>531620260001734710</t>
  </si>
  <si>
    <t>FBA15LQ8GKML</t>
  </si>
  <si>
    <t>JTT202605000304</t>
  </si>
  <si>
    <t>101SO2605080009/101SO2605080009-01</t>
  </si>
  <si>
    <t>JTT202605000314</t>
  </si>
  <si>
    <t>531620260001837178</t>
  </si>
  <si>
    <t>101SO2605130016/101SO2605130016-
01/101SO2605130016-02</t>
  </si>
  <si>
    <t>JTT202605000319</t>
  </si>
  <si>
    <t>531620260001837400</t>
  </si>
  <si>
    <t>101SO2605200011/101SO2605200011-01</t>
  </si>
  <si>
    <t>JTT202605000327</t>
  </si>
  <si>
    <t>101SO2604210028/101SO2604210028-01</t>
  </si>
  <si>
    <t>JTT202605000349</t>
  </si>
  <si>
    <t>JTT202605000350</t>
  </si>
  <si>
    <t>JTT202605000351</t>
  </si>
  <si>
    <t>JTT202605000352</t>
  </si>
  <si>
    <t>合计</t>
  </si>
  <si>
    <t>国内账号</t>
  </si>
  <si>
    <t>开户行</t>
  </si>
  <si>
    <t>中国农业银行深圳福田保税区支行</t>
  </si>
  <si>
    <t>开户名</t>
  </si>
  <si>
    <t>赛诺吉(深圳)国际货运代理有限公司</t>
  </si>
  <si>
    <t>账号</t>
  </si>
  <si>
    <t>41009000040015688</t>
  </si>
  <si>
    <t>外币账户</t>
  </si>
  <si>
    <t>备注</t>
  </si>
  <si>
    <t>Account Name:</t>
  </si>
  <si>
    <t>JING TUN TAI LIMITED</t>
  </si>
  <si>
    <t>外币账户请付款方转账时务必选择所有付款&amp;中间行手续费都由付款方承担，我司需全额到账。</t>
  </si>
  <si>
    <t>Account:(EUR)</t>
  </si>
  <si>
    <t>965-30-013995</t>
  </si>
  <si>
    <r>
      <rPr>
        <b/>
        <sz val="12"/>
        <rFont val="Times New Roman"/>
        <charset val="134"/>
      </rPr>
      <t>Bank Name</t>
    </r>
    <r>
      <rPr>
        <b/>
        <sz val="12"/>
        <rFont val="宋体"/>
        <charset val="134"/>
      </rPr>
      <t>：</t>
    </r>
  </si>
  <si>
    <t>MEGA INTERNATIONAL COMMERCIAL BANK HONG KONG BRANCH</t>
  </si>
  <si>
    <r>
      <rPr>
        <b/>
        <sz val="12"/>
        <rFont val="Times New Roman"/>
        <charset val="134"/>
      </rPr>
      <t>Bank Address</t>
    </r>
    <r>
      <rPr>
        <b/>
        <sz val="12"/>
        <rFont val="宋体"/>
        <charset val="134"/>
      </rPr>
      <t>：</t>
    </r>
  </si>
  <si>
    <t>Suite 2001,22/F,Prudential Tower The Gateway,Harbour City,21 Canton Road Tsimshatsui,Kowloon,Hong Kong</t>
  </si>
  <si>
    <t>Swift code:</t>
  </si>
  <si>
    <t>ICBCHKHH</t>
  </si>
  <si>
    <t>有限公司2025年2月对账单</t>
  </si>
  <si>
    <t>折算美元-汇率7.15</t>
  </si>
  <si>
    <t>运单号</t>
  </si>
  <si>
    <t>报关续页费</t>
  </si>
  <si>
    <t>税费VAT</t>
  </si>
  <si>
    <t>税费关税</t>
  </si>
  <si>
    <t>国内运输费</t>
  </si>
  <si>
    <t>国内运费税费</t>
  </si>
  <si>
    <t>报关费税费</t>
  </si>
  <si>
    <t>开票</t>
  </si>
  <si>
    <t>101SO2501130001-02</t>
  </si>
  <si>
    <t>空运</t>
  </si>
  <si>
    <t>美国</t>
  </si>
  <si>
    <t>514120250410300258</t>
  </si>
  <si>
    <t>USA</t>
  </si>
  <si>
    <t>美国子公司</t>
  </si>
  <si>
    <t>国内运费</t>
  </si>
  <si>
    <t>101SO2501130001-03</t>
  </si>
  <si>
    <t>514120250410341240</t>
  </si>
  <si>
    <t>101SO2501160022-04</t>
  </si>
  <si>
    <t>420420250000043669</t>
  </si>
  <si>
    <t>101SO2502130060-01</t>
  </si>
  <si>
    <t>310920250599987905</t>
  </si>
  <si>
    <t>101ZF2025-01016</t>
  </si>
  <si>
    <t>产品行销部</t>
  </si>
  <si>
    <t>101ZS2502280013</t>
  </si>
  <si>
    <t>国际运输费</t>
  </si>
  <si>
    <t>付款账户：</t>
  </si>
  <si>
    <t>深圳市易通科技供应链有限公司</t>
  </si>
  <si>
    <t>有限公司</t>
  </si>
  <si>
    <t>开户名称:有限公司
开户行:中国银行深圳彩虹支行
账号(CNY):
银行地址: 
Swift Code:</t>
  </si>
  <si>
    <t>国内运费（运费合计的10%）</t>
  </si>
  <si>
    <t>国内运费税费（如有）</t>
  </si>
  <si>
    <t>报关费税费（如有）</t>
  </si>
  <si>
    <t>国外运输费USD</t>
  </si>
  <si>
    <t>保险费USD</t>
  </si>
  <si>
    <t>Account:</t>
  </si>
  <si>
    <r>
      <rPr>
        <b/>
        <sz val="12"/>
        <rFont val="Times New Roman"/>
        <charset val="134"/>
      </rPr>
      <t>Beneficiary Address</t>
    </r>
    <r>
      <rPr>
        <b/>
        <sz val="12"/>
        <rFont val="宋体"/>
        <charset val="134"/>
      </rPr>
      <t>：</t>
    </r>
  </si>
  <si>
    <r>
      <rPr>
        <b/>
        <sz val="12"/>
        <rFont val="Times New Roman"/>
        <charset val="134"/>
      </rPr>
      <t>Beneficiary Bank</t>
    </r>
    <r>
      <rPr>
        <b/>
        <sz val="12"/>
        <rFont val="宋体"/>
        <charset val="134"/>
      </rPr>
      <t>：</t>
    </r>
  </si>
  <si>
    <t>Bank Address: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</si>
</sst>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\ &quot;€&quot;;\-#,##0.00\ &quot;€&quot;"/>
    <numFmt numFmtId="178" formatCode="\¥#,##0.00;[Red]\¥\-#,##0.00"/>
    <numFmt numFmtId="179" formatCode="&quot;￥&quot;#,##0.00_);[Red]\(&quot;￥&quot;#,##0.00\)"/>
    <numFmt numFmtId="180" formatCode="m&quot;月&quot;d&quot;日&quot;;@"/>
  </numFmts>
  <fonts count="53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微软雅黑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0"/>
      <name val="黑体"/>
      <charset val="134"/>
    </font>
    <font>
      <sz val="16"/>
      <color indexed="8"/>
      <name val="宋体"/>
      <charset val="134"/>
      <scheme val="minor"/>
    </font>
    <font>
      <b/>
      <sz val="11"/>
      <color indexed="8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</font>
    <font>
      <b/>
      <sz val="12"/>
      <color indexed="8"/>
      <name val="宋体"/>
      <charset val="134"/>
    </font>
    <font>
      <sz val="9"/>
      <color indexed="8"/>
      <name val="宋体"/>
      <charset val="134"/>
      <scheme val="minor"/>
    </font>
    <font>
      <b/>
      <sz val="12"/>
      <name val="黑体"/>
      <charset val="134"/>
    </font>
    <font>
      <sz val="12"/>
      <name val="黑体"/>
      <charset val="134"/>
    </font>
    <font>
      <sz val="9"/>
      <color rgb="FF777777"/>
      <name val="微软雅黑"/>
      <charset val="134"/>
    </font>
    <font>
      <sz val="10"/>
      <color indexed="10"/>
      <name val="黑体"/>
      <charset val="134"/>
    </font>
    <font>
      <b/>
      <sz val="10"/>
      <color indexed="10"/>
      <name val="黑体"/>
      <charset val="134"/>
    </font>
    <font>
      <sz val="9"/>
      <color rgb="FF008000"/>
      <name val="微软雅黑"/>
      <charset val="134"/>
    </font>
    <font>
      <sz val="9"/>
      <name val="黑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11" borderId="32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3" applyNumberFormat="0" applyFill="0" applyAlignment="0" applyProtection="0">
      <alignment vertical="center"/>
    </xf>
    <xf numFmtId="0" fontId="36" fillId="0" borderId="33" applyNumberFormat="0" applyFill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2" borderId="35" applyNumberFormat="0" applyAlignment="0" applyProtection="0">
      <alignment vertical="center"/>
    </xf>
    <xf numFmtId="0" fontId="39" fillId="13" borderId="36" applyNumberFormat="0" applyAlignment="0" applyProtection="0">
      <alignment vertical="center"/>
    </xf>
    <xf numFmtId="0" fontId="40" fillId="13" borderId="35" applyNumberFormat="0" applyAlignment="0" applyProtection="0">
      <alignment vertical="center"/>
    </xf>
    <xf numFmtId="0" fontId="41" fillId="14" borderId="37" applyNumberFormat="0" applyAlignment="0" applyProtection="0">
      <alignment vertical="center"/>
    </xf>
    <xf numFmtId="0" fontId="42" fillId="0" borderId="38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9" fillId="0" borderId="0"/>
    <xf numFmtId="0" fontId="2" fillId="0" borderId="0">
      <alignment vertical="center"/>
    </xf>
    <xf numFmtId="0" fontId="50" fillId="0" borderId="0" applyFont="0">
      <alignment vertical="center"/>
    </xf>
  </cellStyleXfs>
  <cellXfs count="18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176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177" fontId="0" fillId="0" borderId="0" xfId="0" applyNumberFormat="1" applyAlignment="1">
      <alignment vertical="top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/>
    <xf numFmtId="0" fontId="3" fillId="0" borderId="0" xfId="0" applyFont="1">
      <alignment vertical="center"/>
    </xf>
    <xf numFmtId="0" fontId="7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2" fillId="0" borderId="0" xfId="0" applyFont="1">
      <alignment vertical="center"/>
    </xf>
    <xf numFmtId="0" fontId="0" fillId="0" borderId="0" xfId="0" applyBorder="1">
      <alignment vertical="center"/>
    </xf>
    <xf numFmtId="176" fontId="13" fillId="3" borderId="3" xfId="0" applyNumberFormat="1" applyFont="1" applyFill="1" applyBorder="1" applyAlignment="1">
      <alignment horizontal="center" vertical="center"/>
    </xf>
    <xf numFmtId="176" fontId="13" fillId="3" borderId="4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left" vertical="center"/>
    </xf>
    <xf numFmtId="176" fontId="13" fillId="4" borderId="5" xfId="0" applyNumberFormat="1" applyFont="1" applyFill="1" applyBorder="1" applyAlignment="1">
      <alignment horizontal="center" vertical="center"/>
    </xf>
    <xf numFmtId="176" fontId="13" fillId="4" borderId="6" xfId="0" applyNumberFormat="1" applyFont="1" applyFill="1" applyBorder="1" applyAlignment="1">
      <alignment horizontal="center" vertical="center"/>
    </xf>
    <xf numFmtId="176" fontId="13" fillId="5" borderId="2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176" fontId="14" fillId="6" borderId="9" xfId="0" applyNumberFormat="1" applyFont="1" applyFill="1" applyBorder="1" applyAlignment="1">
      <alignment horizontal="center" vertical="center" wrapText="1"/>
    </xf>
    <xf numFmtId="176" fontId="14" fillId="6" borderId="10" xfId="0" applyNumberFormat="1" applyFont="1" applyFill="1" applyBorder="1" applyAlignment="1">
      <alignment horizontal="center" vertical="center" wrapText="1"/>
    </xf>
    <xf numFmtId="176" fontId="15" fillId="0" borderId="11" xfId="0" applyNumberFormat="1" applyFont="1" applyBorder="1" applyAlignment="1">
      <alignment horizontal="center" vertical="center" wrapText="1"/>
    </xf>
    <xf numFmtId="176" fontId="14" fillId="0" borderId="9" xfId="0" applyNumberFormat="1" applyFont="1" applyBorder="1" applyAlignment="1">
      <alignment horizontal="center" vertical="center" wrapText="1"/>
    </xf>
    <xf numFmtId="176" fontId="14" fillId="7" borderId="9" xfId="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 wrapText="1"/>
    </xf>
    <xf numFmtId="176" fontId="14" fillId="5" borderId="2" xfId="0" applyNumberFormat="1" applyFont="1" applyFill="1" applyBorder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/>
    </xf>
    <xf numFmtId="0" fontId="16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8" fontId="19" fillId="0" borderId="2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7" fontId="19" fillId="0" borderId="2" xfId="0" applyNumberFormat="1" applyFont="1" applyFill="1" applyBorder="1" applyAlignment="1">
      <alignment horizontal="center" vertical="center" wrapText="1"/>
    </xf>
    <xf numFmtId="178" fontId="10" fillId="0" borderId="15" xfId="0" applyNumberFormat="1" applyFont="1" applyFill="1" applyBorder="1" applyAlignment="1">
      <alignment horizontal="center" vertical="center"/>
    </xf>
    <xf numFmtId="178" fontId="16" fillId="0" borderId="16" xfId="0" applyNumberFormat="1" applyFont="1" applyFill="1" applyBorder="1" applyAlignment="1">
      <alignment horizontal="center" vertical="center" wrapText="1"/>
    </xf>
    <xf numFmtId="178" fontId="19" fillId="0" borderId="17" xfId="0" applyNumberFormat="1" applyFont="1" applyFill="1" applyBorder="1" applyAlignment="1">
      <alignment horizontal="center" vertical="center" wrapText="1"/>
    </xf>
    <xf numFmtId="178" fontId="19" fillId="7" borderId="17" xfId="0" applyNumberFormat="1" applyFont="1" applyFill="1" applyBorder="1" applyAlignment="1">
      <alignment horizontal="center" vertical="center" wrapText="1"/>
    </xf>
    <xf numFmtId="178" fontId="19" fillId="0" borderId="17" xfId="0" applyNumberFormat="1" applyFont="1" applyFill="1" applyBorder="1" applyAlignment="1">
      <alignment horizontal="center" vertical="center"/>
    </xf>
    <xf numFmtId="178" fontId="19" fillId="7" borderId="18" xfId="0" applyNumberFormat="1" applyFont="1" applyFill="1" applyBorder="1" applyAlignment="1">
      <alignment horizontal="center" vertical="center" wrapText="1"/>
    </xf>
    <xf numFmtId="177" fontId="20" fillId="0" borderId="2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 wrapText="1"/>
    </xf>
    <xf numFmtId="177" fontId="19" fillId="5" borderId="15" xfId="0" applyNumberFormat="1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77" fontId="19" fillId="0" borderId="19" xfId="0" applyNumberFormat="1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/>
    </xf>
    <xf numFmtId="177" fontId="19" fillId="0" borderId="17" xfId="0" applyNumberFormat="1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178" fontId="10" fillId="0" borderId="20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7" fontId="19" fillId="8" borderId="1" xfId="0" applyNumberFormat="1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/>
    </xf>
    <xf numFmtId="177" fontId="19" fillId="8" borderId="2" xfId="0" applyNumberFormat="1" applyFont="1" applyFill="1" applyBorder="1" applyAlignment="1">
      <alignment horizontal="center" vertical="center" wrapText="1"/>
    </xf>
    <xf numFmtId="177" fontId="16" fillId="9" borderId="2" xfId="0" applyNumberFormat="1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177" fontId="19" fillId="9" borderId="2" xfId="0" applyNumberFormat="1" applyFont="1" applyFill="1" applyBorder="1" applyAlignment="1">
      <alignment horizontal="center" vertical="center" wrapText="1"/>
    </xf>
    <xf numFmtId="178" fontId="19" fillId="2" borderId="2" xfId="0" applyNumberFormat="1" applyFont="1" applyFill="1" applyBorder="1" applyAlignment="1">
      <alignment horizontal="center" vertical="center"/>
    </xf>
    <xf numFmtId="177" fontId="19" fillId="3" borderId="2" xfId="0" applyNumberFormat="1" applyFont="1" applyFill="1" applyBorder="1" applyAlignment="1">
      <alignment horizontal="center" vertical="center" wrapText="1"/>
    </xf>
    <xf numFmtId="179" fontId="10" fillId="0" borderId="1" xfId="0" applyNumberFormat="1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/>
    </xf>
    <xf numFmtId="178" fontId="19" fillId="0" borderId="1" xfId="0" applyNumberFormat="1" applyFont="1" applyFill="1" applyBorder="1" applyAlignment="1">
      <alignment horizontal="center" vertical="center"/>
    </xf>
    <xf numFmtId="178" fontId="16" fillId="0" borderId="21" xfId="0" applyNumberFormat="1" applyFont="1" applyFill="1" applyBorder="1" applyAlignment="1">
      <alignment horizontal="center" vertical="center" wrapText="1"/>
    </xf>
    <xf numFmtId="178" fontId="19" fillId="0" borderId="19" xfId="0" applyNumberFormat="1" applyFont="1" applyFill="1" applyBorder="1" applyAlignment="1">
      <alignment horizontal="center" vertical="center" wrapText="1"/>
    </xf>
    <xf numFmtId="178" fontId="19" fillId="7" borderId="19" xfId="0" applyNumberFormat="1" applyFont="1" applyFill="1" applyBorder="1" applyAlignment="1">
      <alignment horizontal="center" vertical="center" wrapText="1"/>
    </xf>
    <xf numFmtId="178" fontId="19" fillId="0" borderId="19" xfId="0" applyNumberFormat="1" applyFont="1" applyFill="1" applyBorder="1" applyAlignment="1">
      <alignment horizontal="center" vertical="center"/>
    </xf>
    <xf numFmtId="178" fontId="19" fillId="7" borderId="22" xfId="0" applyNumberFormat="1" applyFont="1" applyFill="1" applyBorder="1" applyAlignment="1">
      <alignment horizontal="center" vertical="center" wrapText="1"/>
    </xf>
    <xf numFmtId="177" fontId="20" fillId="0" borderId="1" xfId="0" applyNumberFormat="1" applyFont="1" applyFill="1" applyBorder="1" applyAlignment="1">
      <alignment horizontal="center" vertical="center"/>
    </xf>
    <xf numFmtId="177" fontId="19" fillId="3" borderId="1" xfId="0" applyNumberFormat="1" applyFont="1" applyFill="1" applyBorder="1" applyAlignment="1">
      <alignment horizontal="center" vertical="center" wrapText="1"/>
    </xf>
    <xf numFmtId="177" fontId="19" fillId="5" borderId="20" xfId="0" applyNumberFormat="1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9" fontId="10" fillId="0" borderId="19" xfId="0" applyNumberFormat="1" applyFont="1" applyBorder="1" applyAlignment="1">
      <alignment horizontal="center" vertical="center"/>
    </xf>
    <xf numFmtId="177" fontId="20" fillId="0" borderId="19" xfId="0" applyNumberFormat="1" applyFont="1" applyFill="1" applyBorder="1" applyAlignment="1">
      <alignment horizontal="center" vertical="center"/>
    </xf>
    <xf numFmtId="177" fontId="19" fillId="3" borderId="19" xfId="0" applyNumberFormat="1" applyFont="1" applyFill="1" applyBorder="1" applyAlignment="1">
      <alignment horizontal="center" vertical="center" wrapText="1"/>
    </xf>
    <xf numFmtId="177" fontId="19" fillId="5" borderId="23" xfId="0" applyNumberFormat="1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/>
    </xf>
    <xf numFmtId="177" fontId="20" fillId="0" borderId="17" xfId="0" applyNumberFormat="1" applyFont="1" applyFill="1" applyBorder="1" applyAlignment="1">
      <alignment horizontal="center" vertical="center"/>
    </xf>
    <xf numFmtId="177" fontId="19" fillId="3" borderId="17" xfId="0" applyNumberFormat="1" applyFont="1" applyFill="1" applyBorder="1" applyAlignment="1">
      <alignment horizontal="center" vertical="center" wrapText="1"/>
    </xf>
    <xf numFmtId="177" fontId="19" fillId="5" borderId="24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78" fontId="20" fillId="0" borderId="27" xfId="0" applyNumberFormat="1" applyFont="1" applyFill="1" applyBorder="1" applyAlignment="1">
      <alignment horizontal="center" vertical="center"/>
    </xf>
    <xf numFmtId="178" fontId="20" fillId="7" borderId="28" xfId="0" applyNumberFormat="1" applyFont="1" applyFill="1" applyBorder="1" applyAlignment="1">
      <alignment horizontal="center" vertical="center"/>
    </xf>
    <xf numFmtId="177" fontId="20" fillId="0" borderId="27" xfId="0" applyNumberFormat="1" applyFont="1" applyBorder="1" applyAlignment="1">
      <alignment horizontal="center" vertical="center"/>
    </xf>
    <xf numFmtId="177" fontId="20" fillId="5" borderId="29" xfId="0" applyNumberFormat="1" applyFont="1" applyFill="1" applyBorder="1" applyAlignment="1">
      <alignment horizontal="center" vertical="center"/>
    </xf>
    <xf numFmtId="176" fontId="0" fillId="0" borderId="0" xfId="0" applyNumberFormat="1" applyBorder="1">
      <alignment vertical="center"/>
    </xf>
    <xf numFmtId="0" fontId="0" fillId="0" borderId="0" xfId="0" applyAlignment="1">
      <alignment horizontal="right" vertical="center"/>
    </xf>
    <xf numFmtId="176" fontId="21" fillId="0" borderId="0" xfId="0" applyNumberFormat="1" applyFont="1">
      <alignment vertical="center"/>
    </xf>
    <xf numFmtId="0" fontId="22" fillId="10" borderId="2" xfId="0" applyFont="1" applyFill="1" applyBorder="1" applyAlignment="1" applyProtection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0" fillId="0" borderId="0" xfId="0" applyFill="1">
      <alignment vertical="center"/>
    </xf>
    <xf numFmtId="0" fontId="24" fillId="0" borderId="0" xfId="0" applyFont="1">
      <alignment vertical="center"/>
    </xf>
    <xf numFmtId="180" fontId="25" fillId="0" borderId="0" xfId="0" applyNumberFormat="1" applyFont="1" applyAlignment="1">
      <alignment wrapText="1" shrinkToFit="1"/>
    </xf>
    <xf numFmtId="180" fontId="25" fillId="0" borderId="0" xfId="0" applyNumberFormat="1" applyFont="1" applyAlignment="1">
      <alignment horizontal="center" wrapText="1" shrinkToFit="1"/>
    </xf>
    <xf numFmtId="180" fontId="25" fillId="0" borderId="0" xfId="0" applyNumberFormat="1" applyFont="1" applyAlignment="1" applyProtection="1">
      <alignment wrapText="1" shrinkToFit="1"/>
      <protection locked="0"/>
    </xf>
    <xf numFmtId="180" fontId="25" fillId="0" borderId="0" xfId="0" applyNumberFormat="1" applyFont="1" applyAlignment="1" applyProtection="1">
      <alignment vertical="center" wrapText="1" shrinkToFit="1"/>
      <protection locked="0"/>
    </xf>
    <xf numFmtId="43" fontId="26" fillId="0" borderId="0" xfId="49" applyNumberFormat="1" applyFont="1" applyAlignment="1" applyProtection="1">
      <alignment vertical="center" wrapText="1" shrinkToFit="1"/>
      <protection locked="0"/>
    </xf>
    <xf numFmtId="0" fontId="11" fillId="0" borderId="0" xfId="0" applyFont="1" applyBorder="1" applyAlignment="1" applyProtection="1">
      <protection locked="0"/>
    </xf>
    <xf numFmtId="0" fontId="27" fillId="0" borderId="0" xfId="0" applyFont="1">
      <alignment vertical="center"/>
    </xf>
    <xf numFmtId="0" fontId="28" fillId="0" borderId="0" xfId="0" applyFont="1" applyAlignment="1" applyProtection="1">
      <protection locked="0"/>
    </xf>
    <xf numFmtId="0" fontId="23" fillId="0" borderId="0" xfId="0" applyFont="1" applyAlignment="1" applyProtection="1">
      <protection locked="0"/>
    </xf>
    <xf numFmtId="0" fontId="22" fillId="10" borderId="5" xfId="0" applyFont="1" applyFill="1" applyBorder="1" applyAlignment="1" applyProtection="1">
      <alignment horizontal="left" vertical="center" wrapText="1"/>
    </xf>
    <xf numFmtId="0" fontId="22" fillId="10" borderId="6" xfId="0" applyFont="1" applyFill="1" applyBorder="1" applyAlignment="1" applyProtection="1">
      <alignment horizontal="left" vertical="center" wrapText="1"/>
    </xf>
    <xf numFmtId="0" fontId="22" fillId="10" borderId="2" xfId="0" applyFont="1" applyFill="1" applyBorder="1" applyAlignment="1" applyProtection="1">
      <alignment vertical="center" wrapText="1"/>
    </xf>
    <xf numFmtId="0" fontId="7" fillId="0" borderId="2" xfId="0" applyFont="1" applyFill="1" applyBorder="1" applyAlignment="1">
      <alignment horizontal="left" vertical="center"/>
    </xf>
    <xf numFmtId="0" fontId="29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0" xfId="0" applyFont="1" applyFill="1" applyBorder="1" applyAlignment="1">
      <alignment horizontal="left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176" fontId="0" fillId="0" borderId="0" xfId="0" applyNumberFormat="1" applyAlignment="1">
      <alignment vertical="center"/>
    </xf>
    <xf numFmtId="176" fontId="21" fillId="0" borderId="0" xfId="0" applyNumberFormat="1" applyFont="1" applyAlignment="1">
      <alignment vertical="center"/>
    </xf>
    <xf numFmtId="0" fontId="7" fillId="0" borderId="30" xfId="0" applyFont="1" applyFill="1" applyBorder="1" applyAlignment="1">
      <alignment horizontal="left" vertical="center"/>
    </xf>
    <xf numFmtId="0" fontId="11" fillId="0" borderId="19" xfId="0" applyFont="1" applyBorder="1" applyAlignment="1" applyProtection="1">
      <alignment horizontal="left" vertical="center" wrapText="1"/>
      <protection locked="0"/>
    </xf>
    <xf numFmtId="0" fontId="23" fillId="0" borderId="0" xfId="0" applyFont="1" applyFill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7" fillId="0" borderId="31" xfId="0" applyFont="1" applyFill="1" applyBorder="1" applyAlignment="1">
      <alignment horizontal="left" vertical="center" wrapText="1"/>
    </xf>
    <xf numFmtId="0" fontId="23" fillId="0" borderId="0" xfId="0" applyFont="1" applyFill="1" applyAlignment="1">
      <alignment horizontal="left" vertical="center" wrapText="1"/>
    </xf>
    <xf numFmtId="0" fontId="11" fillId="0" borderId="17" xfId="0" applyFont="1" applyBorder="1" applyAlignment="1" applyProtection="1">
      <alignment horizontal="left" vertical="center" wrapText="1"/>
      <protection locked="0"/>
    </xf>
    <xf numFmtId="0" fontId="17" fillId="0" borderId="2" xfId="0" applyFont="1" applyFill="1" applyBorder="1" applyAlignment="1" quotePrefix="1">
      <alignment horizontal="center" vertical="center"/>
    </xf>
    <xf numFmtId="0" fontId="17" fillId="0" borderId="1" xfId="0" applyFont="1" applyFill="1" applyBorder="1" applyAlignment="1" quotePrefix="1">
      <alignment horizontal="center" vertical="center"/>
    </xf>
    <xf numFmtId="0" fontId="17" fillId="0" borderId="19" xfId="0" applyFont="1" applyFill="1" applyBorder="1" applyAlignment="1" quotePrefix="1">
      <alignment horizontal="center" vertical="center"/>
    </xf>
    <xf numFmtId="0" fontId="17" fillId="0" borderId="17" xfId="0" applyFont="1" applyFill="1" applyBorder="1" applyAlignment="1" quotePrefix="1">
      <alignment horizontal="center" vertical="center"/>
    </xf>
    <xf numFmtId="0" fontId="23" fillId="0" borderId="2" xfId="0" applyFont="1" applyBorder="1" applyAlignment="1" quotePrefix="1">
      <alignment horizontal="left" vertical="center" wrapText="1"/>
    </xf>
    <xf numFmtId="0" fontId="0" fillId="0" borderId="2" xfId="0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㼿㼿㼿" xfId="49"/>
    <cellStyle name="常规 4" xfId="50"/>
    <cellStyle name="常规_UZ04H-0301-确认书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admin/bb plan1/SR&#36134;&#21333;&#33258;&#21160;&#29983;&#25104;//Emma/5.FBA Order/0.&#20122;&#39532;&#36874;&#31449;&#28857;&#25152;&#26377;FBA&#20449;&#24687;&#32479;&#35745;/2026&#24180;&#20122;&#39532;&#36874;&#32479;&#3574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A"/>
      <sheetName val="DE"/>
      <sheetName val="UK"/>
      <sheetName val="JPN"/>
      <sheetName val="AU"/>
      <sheetName val="AE"/>
      <sheetName val="RUS"/>
      <sheetName val="ITA"/>
      <sheetName val="亚马逊仓库信息"/>
      <sheetName val="税金单信息"/>
      <sheetName val="发货进度信息表"/>
      <sheetName val="货代其他信息"/>
      <sheetName val="打印"/>
      <sheetName val="货代的卡派追踪编码"/>
      <sheetName val="批量新建多个文件夹"/>
      <sheetName val="欧洲延期票数"/>
      <sheetName val="Sheet1"/>
    </sheetNames>
    <sheetDataSet>
      <sheetData sheetId="0" refreshError="1"/>
      <sheetData sheetId="1" refreshError="1">
        <row r="1">
          <cell r="F1" t="str">
            <v>FBA号</v>
          </cell>
        </row>
        <row r="1">
          <cell r="AV1" t="str">
            <v>订单号(标准销售单号)</v>
          </cell>
        </row>
        <row r="1">
          <cell r="AX1" t="str">
            <v>标准采购单号</v>
          </cell>
        </row>
        <row r="2">
          <cell r="F2" t="str">
            <v>FBA15LB5VV1B</v>
          </cell>
        </row>
        <row r="2">
          <cell r="AV2" t="str">
            <v>101SO2601140032</v>
          </cell>
        </row>
        <row r="2">
          <cell r="AX2" t="str">
            <v>105PO2026-00013</v>
          </cell>
        </row>
        <row r="3">
          <cell r="F3" t="str">
            <v>FBA15LB5L1D2</v>
          </cell>
        </row>
        <row r="3">
          <cell r="AV3" t="str">
            <v>101SO2601140032</v>
          </cell>
        </row>
        <row r="3">
          <cell r="AX3" t="str">
            <v>105PO2026-00013</v>
          </cell>
        </row>
        <row r="4">
          <cell r="F4" t="str">
            <v>FBA15LF470ZG</v>
          </cell>
        </row>
        <row r="4">
          <cell r="AV4" t="str">
            <v>101SO2601270014</v>
          </cell>
        </row>
        <row r="4">
          <cell r="AX4" t="str">
            <v>105PO2026-00031</v>
          </cell>
        </row>
        <row r="5">
          <cell r="F5" t="str">
            <v>FBA15LCNHLWW</v>
          </cell>
        </row>
        <row r="5">
          <cell r="AV5" t="str">
            <v>101SO2601230021</v>
          </cell>
        </row>
        <row r="5">
          <cell r="AX5" t="str">
            <v>105PO2026-00024</v>
          </cell>
        </row>
        <row r="6">
          <cell r="F6" t="str">
            <v>FBA15LF5DLCY</v>
          </cell>
        </row>
        <row r="6">
          <cell r="AV6" t="str">
            <v>101SO2601270013/101SO2601270014</v>
          </cell>
        </row>
        <row r="6">
          <cell r="AX6" t="str">
            <v>105PO2026-00030/105PO2026-00031</v>
          </cell>
        </row>
        <row r="7">
          <cell r="F7" t="str">
            <v>FBA15LCNGTS4</v>
          </cell>
        </row>
        <row r="7">
          <cell r="AV7" t="str">
            <v>101SO2601230021</v>
          </cell>
        </row>
        <row r="7">
          <cell r="AX7" t="str">
            <v>105PO2026-00024</v>
          </cell>
        </row>
        <row r="8">
          <cell r="F8" t="str">
            <v>FBA15LF6BB90</v>
          </cell>
        </row>
        <row r="8">
          <cell r="AV8" t="str">
            <v>101SO2601270013</v>
          </cell>
        </row>
        <row r="8">
          <cell r="AX8" t="str">
            <v>105PO2026-00030</v>
          </cell>
        </row>
        <row r="9">
          <cell r="F9" t="str">
            <v>FBA15LJ31D8L</v>
          </cell>
        </row>
        <row r="9">
          <cell r="AV9" t="str">
            <v>101SO2602270039</v>
          </cell>
        </row>
        <row r="9">
          <cell r="AX9" t="str">
            <v>105PO2026-00055</v>
          </cell>
        </row>
        <row r="10">
          <cell r="F10" t="str">
            <v>FBA15LJ309R7</v>
          </cell>
        </row>
        <row r="10">
          <cell r="AV10" t="str">
            <v>101SO2602270039</v>
          </cell>
        </row>
        <row r="10">
          <cell r="AX10" t="str">
            <v>105PO2026-00055</v>
          </cell>
        </row>
        <row r="11">
          <cell r="F11" t="str">
            <v>FBA15LJ33JBZ</v>
          </cell>
        </row>
        <row r="11">
          <cell r="AV11" t="str">
            <v>101SO2602270039</v>
          </cell>
        </row>
        <row r="11">
          <cell r="AX11" t="str">
            <v>105PO2026-00055</v>
          </cell>
        </row>
        <row r="12">
          <cell r="F12" t="str">
            <v>FBA15LJ2096H</v>
          </cell>
        </row>
        <row r="12">
          <cell r="AV12" t="str">
            <v>101SO2602270046</v>
          </cell>
        </row>
        <row r="12">
          <cell r="AX12" t="str">
            <v>105PO2026-00051</v>
          </cell>
        </row>
        <row r="13">
          <cell r="F13" t="str">
            <v>FBA15LJ1XCWH</v>
          </cell>
        </row>
        <row r="13">
          <cell r="AV13" t="str">
            <v>101SO2602270046</v>
          </cell>
        </row>
        <row r="13">
          <cell r="AX13" t="str">
            <v>105PO2026-00051</v>
          </cell>
        </row>
        <row r="14">
          <cell r="F14" t="str">
            <v>FBA15LK4Z025</v>
          </cell>
        </row>
        <row r="14">
          <cell r="AV14" t="str">
            <v>101SO2603160003</v>
          </cell>
        </row>
        <row r="14">
          <cell r="AX14" t="str">
            <v>105PO2026-00060</v>
          </cell>
        </row>
        <row r="15">
          <cell r="F15" t="str">
            <v>FBA15LK4P79N</v>
          </cell>
        </row>
        <row r="15">
          <cell r="AV15" t="str">
            <v>101SO2603160003</v>
          </cell>
        </row>
        <row r="15">
          <cell r="AX15" t="str">
            <v>105PO2026-00060</v>
          </cell>
        </row>
        <row r="16">
          <cell r="F16" t="str">
            <v>FBA15LK3TG6R</v>
          </cell>
        </row>
        <row r="16">
          <cell r="AV16" t="str">
            <v>101SO2603160003</v>
          </cell>
        </row>
        <row r="16">
          <cell r="AX16" t="str">
            <v>105PO2026-00060</v>
          </cell>
        </row>
        <row r="17">
          <cell r="F17" t="str">
            <v>FBA15LKTRRW3</v>
          </cell>
        </row>
        <row r="17">
          <cell r="AV17" t="str">
            <v>101SO2603200024</v>
          </cell>
        </row>
        <row r="17">
          <cell r="AX17" t="str">
            <v>105PO2026-00068</v>
          </cell>
        </row>
        <row r="18">
          <cell r="F18" t="str">
            <v>FBA15LKTRRVG</v>
          </cell>
        </row>
        <row r="18">
          <cell r="AV18" t="str">
            <v>101SO2603200024</v>
          </cell>
        </row>
        <row r="18">
          <cell r="AX18" t="str">
            <v>105PO2026-00068</v>
          </cell>
        </row>
        <row r="19">
          <cell r="F19" t="str">
            <v>FBA15LL8P36Q</v>
          </cell>
        </row>
        <row r="19">
          <cell r="AV19" t="str">
            <v>101SO2603240032</v>
          </cell>
        </row>
        <row r="19">
          <cell r="AX19" t="str">
            <v>105PO2026-00072</v>
          </cell>
        </row>
        <row r="20">
          <cell r="F20" t="str">
            <v>FBA15LM7Q3C6</v>
          </cell>
        </row>
        <row r="20">
          <cell r="AV20" t="str">
            <v>101SO2603260038</v>
          </cell>
        </row>
        <row r="20">
          <cell r="AX20" t="str">
            <v>105PO2026-00086</v>
          </cell>
        </row>
        <row r="21">
          <cell r="F21" t="str">
            <v>FBA15LM84XVF</v>
          </cell>
        </row>
        <row r="21">
          <cell r="AV21" t="str">
            <v>101SO2603260038</v>
          </cell>
        </row>
        <row r="21">
          <cell r="AX21" t="str">
            <v>105PO2026-00086</v>
          </cell>
        </row>
        <row r="22">
          <cell r="F22" t="str">
            <v>FBA15LM8JFCP</v>
          </cell>
        </row>
        <row r="22">
          <cell r="AV22" t="str">
            <v>101SO2603260038</v>
          </cell>
        </row>
        <row r="22">
          <cell r="AX22" t="str">
            <v>105PO2026-00086</v>
          </cell>
        </row>
        <row r="23">
          <cell r="F23" t="str">
            <v>FBA15LNRVP71</v>
          </cell>
        </row>
        <row r="23">
          <cell r="AV23" t="str">
            <v>101SO2604130023</v>
          </cell>
        </row>
        <row r="23">
          <cell r="AX23" t="str">
            <v>105PO2026-00097</v>
          </cell>
        </row>
        <row r="24">
          <cell r="F24" t="str">
            <v>FBA15LNLMJ3D</v>
          </cell>
        </row>
        <row r="24">
          <cell r="AV24" t="str">
            <v>101SO2604130023</v>
          </cell>
        </row>
        <row r="24">
          <cell r="AX24" t="str">
            <v>105PO2026-00097</v>
          </cell>
        </row>
        <row r="25">
          <cell r="F25" t="str">
            <v>FBA15LNRTD9M</v>
          </cell>
        </row>
        <row r="25">
          <cell r="AV25" t="str">
            <v>101SO2604130023</v>
          </cell>
        </row>
        <row r="25">
          <cell r="AX25" t="str">
            <v>105PO2026-00097</v>
          </cell>
        </row>
      </sheetData>
      <sheetData sheetId="2" refreshError="1">
        <row r="1">
          <cell r="F1" t="str">
            <v>FBA号</v>
          </cell>
        </row>
        <row r="1">
          <cell r="BA1" t="str">
            <v>标准采购单号</v>
          </cell>
        </row>
        <row r="2">
          <cell r="F2" t="str">
            <v>FBA15LC43P27</v>
          </cell>
        </row>
        <row r="2">
          <cell r="BA2" t="str">
            <v>105PO2026-00017</v>
          </cell>
        </row>
        <row r="3">
          <cell r="F3" t="str">
            <v>FBA15LCTTTGX</v>
          </cell>
        </row>
        <row r="3">
          <cell r="BA3" t="str">
            <v>105PO2026-00025</v>
          </cell>
        </row>
        <row r="4">
          <cell r="F4" t="str">
            <v>FBA15LCTSWM2</v>
          </cell>
        </row>
        <row r="4">
          <cell r="BA4" t="str">
            <v>105PO2026-00025</v>
          </cell>
        </row>
        <row r="5">
          <cell r="F5" t="str">
            <v>FBA15LF3WMTC</v>
          </cell>
        </row>
        <row r="5">
          <cell r="BA5" t="str">
            <v>105PO2026-00032</v>
          </cell>
        </row>
        <row r="6">
          <cell r="F6" t="str">
            <v>FBA15LF3XK70</v>
          </cell>
        </row>
        <row r="6">
          <cell r="BA6" t="str">
            <v>105PO2026-00032/105PO2026-00033</v>
          </cell>
        </row>
        <row r="7">
          <cell r="F7" t="str">
            <v>FBA15LJ218V5</v>
          </cell>
        </row>
        <row r="7">
          <cell r="BA7" t="str">
            <v>105PO2026-00056</v>
          </cell>
        </row>
        <row r="8">
          <cell r="F8" t="str">
            <v>FBA15LJ1X10Q</v>
          </cell>
        </row>
        <row r="8">
          <cell r="BA8" t="str">
            <v>105PO2026-00056</v>
          </cell>
        </row>
        <row r="9">
          <cell r="F9" t="str">
            <v>FBA15LJ13DQS</v>
          </cell>
        </row>
        <row r="9">
          <cell r="BA9" t="str">
            <v>105PO2026-00052</v>
          </cell>
        </row>
        <row r="10">
          <cell r="F10" t="str">
            <v>FBA15LJ18KQ4</v>
          </cell>
        </row>
        <row r="10">
          <cell r="BA10" t="str">
            <v>105PO2026-00052</v>
          </cell>
        </row>
        <row r="11">
          <cell r="F11" t="str">
            <v>FBA15LK3Z1PJ</v>
          </cell>
        </row>
        <row r="11">
          <cell r="BA11" t="str">
            <v>105PO2026-00061</v>
          </cell>
        </row>
        <row r="12">
          <cell r="F12" t="str">
            <v>FBA15LK46W95</v>
          </cell>
        </row>
        <row r="12">
          <cell r="BA12" t="str">
            <v>105PO2026-00061</v>
          </cell>
        </row>
        <row r="13">
          <cell r="F13" t="str">
            <v>FBA15LK3JYGM</v>
          </cell>
        </row>
        <row r="13">
          <cell r="BA13" t="str">
            <v>105PO2026-00061</v>
          </cell>
        </row>
        <row r="14">
          <cell r="F14" t="str">
            <v>FBA15LKTP339</v>
          </cell>
        </row>
        <row r="14">
          <cell r="BA14" t="str">
            <v>105PO2026-00066</v>
          </cell>
        </row>
        <row r="15">
          <cell r="F15" t="str">
            <v>FBA15LLC4KRT</v>
          </cell>
        </row>
        <row r="15">
          <cell r="BA15" t="str">
            <v>105PO2026-00071</v>
          </cell>
        </row>
        <row r="16">
          <cell r="F16" t="str">
            <v>FBA15LLC5SQL</v>
          </cell>
        </row>
        <row r="16">
          <cell r="BA16" t="str">
            <v>105PO2026-00073</v>
          </cell>
        </row>
        <row r="17">
          <cell r="F17" t="str">
            <v>FBA15LM4M5W4</v>
          </cell>
        </row>
        <row r="17">
          <cell r="BA17" t="str">
            <v>105PO2026-00087</v>
          </cell>
        </row>
        <row r="18">
          <cell r="F18" t="str">
            <v>FBA15LM4QLHB</v>
          </cell>
        </row>
        <row r="18">
          <cell r="BA18" t="str">
            <v>105PO2026-00087</v>
          </cell>
        </row>
        <row r="19">
          <cell r="F19" t="str">
            <v>FBA15LM7X5W2</v>
          </cell>
        </row>
        <row r="19">
          <cell r="BA19" t="str">
            <v>105PO2026-00087</v>
          </cell>
        </row>
        <row r="20">
          <cell r="F20" t="str">
            <v>FBA15LM876RH</v>
          </cell>
        </row>
        <row r="20">
          <cell r="BA20" t="str">
            <v>105PO2026-00087</v>
          </cell>
        </row>
        <row r="21">
          <cell r="F21" t="str">
            <v>FBA15LM4CHXC</v>
          </cell>
        </row>
        <row r="21">
          <cell r="BA21" t="str">
            <v>105PO2026-00087</v>
          </cell>
        </row>
        <row r="22">
          <cell r="F22" t="str">
            <v>FBA15LNQVXCC</v>
          </cell>
        </row>
        <row r="22">
          <cell r="BA22" t="str">
            <v>105PO2026-00099</v>
          </cell>
        </row>
        <row r="23">
          <cell r="F23" t="str">
            <v>FBA15LNQK0P8</v>
          </cell>
        </row>
        <row r="23">
          <cell r="BA23" t="str">
            <v>105PO2026-00099</v>
          </cell>
        </row>
        <row r="24">
          <cell r="F24" t="str">
            <v>FBA15LNJ0W0T</v>
          </cell>
        </row>
        <row r="24">
          <cell r="BA24" t="str">
            <v>105PO2026-00099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S50"/>
  <sheetViews>
    <sheetView tabSelected="1" zoomScale="55" zoomScaleNormal="55" workbookViewId="0">
      <pane ySplit="3" topLeftCell="A4" activePane="bottomLeft" state="frozen"/>
      <selection/>
      <selection pane="bottomLeft" activeCell="AF89" sqref="J87:AF89"/>
    </sheetView>
  </sheetViews>
  <sheetFormatPr defaultColWidth="9" defaultRowHeight="16.8"/>
  <cols>
    <col min="1" max="1" width="20.8173076923077" customWidth="1"/>
    <col min="2" max="2" width="38.3461538461538" customWidth="1"/>
    <col min="3" max="3" width="35.875" customWidth="1"/>
    <col min="4" max="4" width="17.3653846153846" customWidth="1"/>
    <col min="5" max="5" width="39.7211538461538" customWidth="1"/>
    <col min="6" max="6" width="12.2403846153846" customWidth="1"/>
    <col min="7" max="7" width="26.2307692307692" style="3" customWidth="1"/>
    <col min="8" max="8" width="9.54807692307692" customWidth="1"/>
    <col min="9" max="9" width="21.5576923076923" customWidth="1"/>
    <col min="10" max="10" width="11.8173076923077" customWidth="1"/>
    <col min="11" max="11" width="10.8173076923077" customWidth="1"/>
    <col min="12" max="12" width="4.81730769230769" customWidth="1"/>
    <col min="13" max="13" width="7.72115384615385" customWidth="1"/>
    <col min="14" max="14" width="5.72115384615385" customWidth="1"/>
    <col min="15" max="15" width="11.8173076923077" customWidth="1"/>
    <col min="16" max="16" width="7.72115384615385" customWidth="1"/>
    <col min="17" max="18" width="9.72115384615385" customWidth="1"/>
    <col min="19" max="19" width="12" customWidth="1"/>
    <col min="20" max="20" width="25.4519230769231" customWidth="1"/>
    <col min="21" max="21" width="14" customWidth="1"/>
    <col min="22" max="22" width="12.7211538461538" customWidth="1"/>
    <col min="23" max="23" width="6.81730769230769" customWidth="1"/>
    <col min="24" max="24" width="12.7211538461538" customWidth="1"/>
    <col min="25" max="25" width="12" customWidth="1"/>
    <col min="26" max="26" width="12.7211538461538" customWidth="1"/>
    <col min="27" max="27" width="12.7211538461538" style="5" customWidth="1"/>
    <col min="28" max="28" width="14.8173076923077" style="5" customWidth="1"/>
    <col min="29" max="29" width="19.1826923076923" style="5" customWidth="1"/>
    <col min="30" max="31" width="12.8173076923077" style="5" customWidth="1"/>
    <col min="32" max="32" width="12.7211538461538" customWidth="1"/>
    <col min="33" max="33" width="14.8173076923077" customWidth="1"/>
    <col min="34" max="34" width="12.8173076923077" customWidth="1"/>
    <col min="35" max="35" width="16.3653846153846" customWidth="1"/>
    <col min="36" max="36" width="19.1826923076923" style="5" customWidth="1"/>
    <col min="37" max="37" width="10.8173076923077" style="5" customWidth="1"/>
    <col min="38" max="38" width="15.9134615384615" style="5" customWidth="1"/>
    <col min="39" max="39" width="17.0480769230769" style="5" customWidth="1"/>
    <col min="40" max="40" width="15.7019230769231" style="5" customWidth="1"/>
    <col min="41" max="43" width="9.91346153846154" style="5" customWidth="1"/>
    <col min="44" max="44" width="15.2788461538462" style="5" customWidth="1"/>
    <col min="45" max="45" width="9" customWidth="1"/>
  </cols>
  <sheetData>
    <row r="1" ht="23.95" spans="1:45">
      <c r="B1" s="53" t="s">
        <v>0</v>
      </c>
      <c r="C1" s="53"/>
      <c r="Y1" s="54"/>
      <c r="Z1" s="54"/>
      <c r="AA1"/>
      <c r="AC1" s="5" t="s">
        <v>1</v>
      </c>
      <c r="AN1" s="5">
        <f>AN7*V2</f>
        <v>14212.675857</v>
      </c>
      <c r="AS1" s="10"/>
    </row>
    <row r="2" ht="17.55" spans="1:45">
      <c r="T2" s="55" t="s">
        <v>2</v>
      </c>
      <c r="U2" s="56"/>
      <c r="V2" s="57">
        <v>8.2939</v>
      </c>
      <c r="W2" s="55" t="s">
        <v>3</v>
      </c>
      <c r="X2" s="56"/>
      <c r="Y2" s="57">
        <v>1.1914</v>
      </c>
      <c r="Z2" s="55" t="s">
        <v>4</v>
      </c>
      <c r="AA2" s="56"/>
      <c r="AB2" s="57">
        <v>0.1282</v>
      </c>
      <c r="AC2" s="58" t="s">
        <v>5</v>
      </c>
      <c r="AD2" s="59"/>
      <c r="AE2" s="59"/>
      <c r="AF2" s="59"/>
      <c r="AG2" s="59"/>
      <c r="AH2" s="59"/>
      <c r="AI2" s="59"/>
      <c r="AJ2" s="60" t="s">
        <v>6</v>
      </c>
      <c r="AK2" s="60"/>
      <c r="AL2" s="60"/>
      <c r="AM2" s="60"/>
      <c r="AN2" s="60"/>
      <c r="AO2" s="60"/>
      <c r="AP2" s="60"/>
      <c r="AQ2" s="60"/>
      <c r="AR2" s="60"/>
      <c r="AS2" s="10"/>
    </row>
    <row r="3" s="42" customFormat="1" ht="51" spans="1:45">
      <c r="A3" s="61" t="s">
        <v>7</v>
      </c>
      <c r="B3" s="61" t="s">
        <v>8</v>
      </c>
      <c r="C3" s="61" t="s">
        <v>9</v>
      </c>
      <c r="D3" s="61" t="s">
        <v>10</v>
      </c>
      <c r="E3" s="61" t="s">
        <v>11</v>
      </c>
      <c r="F3" s="61" t="s">
        <v>12</v>
      </c>
      <c r="G3" s="61" t="s">
        <v>13</v>
      </c>
      <c r="H3" s="61" t="s">
        <v>14</v>
      </c>
      <c r="I3" s="62" t="s">
        <v>15</v>
      </c>
      <c r="J3" s="61" t="s">
        <v>16</v>
      </c>
      <c r="K3" s="61" t="s">
        <v>17</v>
      </c>
      <c r="L3" s="63" t="s">
        <v>18</v>
      </c>
      <c r="M3" s="64" t="s">
        <v>19</v>
      </c>
      <c r="N3" s="64" t="s">
        <v>20</v>
      </c>
      <c r="O3" s="64" t="s">
        <v>21</v>
      </c>
      <c r="P3" s="64" t="s">
        <v>22</v>
      </c>
      <c r="Q3" s="64" t="s">
        <v>23</v>
      </c>
      <c r="R3" s="64" t="s">
        <v>24</v>
      </c>
      <c r="S3" s="64" t="s">
        <v>25</v>
      </c>
      <c r="T3" s="64" t="s">
        <v>26</v>
      </c>
      <c r="U3" s="64" t="s">
        <v>27</v>
      </c>
      <c r="V3" s="64" t="s">
        <v>28</v>
      </c>
      <c r="W3" s="65" t="s">
        <v>29</v>
      </c>
      <c r="X3" s="64" t="s">
        <v>30</v>
      </c>
      <c r="Y3" s="64" t="s">
        <v>31</v>
      </c>
      <c r="Z3" s="64" t="s">
        <v>32</v>
      </c>
      <c r="AA3" s="66" t="s">
        <v>33</v>
      </c>
      <c r="AB3" s="67" t="s">
        <v>34</v>
      </c>
      <c r="AC3" s="68" t="s">
        <v>35</v>
      </c>
      <c r="AD3" s="69" t="s">
        <v>36</v>
      </c>
      <c r="AE3" s="70" t="s">
        <v>37</v>
      </c>
      <c r="AF3" s="71" t="s">
        <v>30</v>
      </c>
      <c r="AG3" s="72" t="s">
        <v>38</v>
      </c>
      <c r="AH3" s="73" t="s">
        <v>39</v>
      </c>
      <c r="AI3" s="74" t="s">
        <v>40</v>
      </c>
      <c r="AJ3" s="75" t="s">
        <v>41</v>
      </c>
      <c r="AK3" s="76" t="s">
        <v>42</v>
      </c>
      <c r="AL3" s="76" t="s">
        <v>43</v>
      </c>
      <c r="AM3" s="77" t="s">
        <v>44</v>
      </c>
      <c r="AN3" s="77" t="s">
        <v>45</v>
      </c>
      <c r="AO3" s="77" t="s">
        <v>46</v>
      </c>
      <c r="AP3" s="77" t="s">
        <v>47</v>
      </c>
      <c r="AQ3" s="77" t="s">
        <v>48</v>
      </c>
      <c r="AR3" s="78" t="s">
        <v>49</v>
      </c>
      <c r="AS3" s="79"/>
    </row>
    <row r="4" s="49" customFormat="1" ht="48" customHeight="1" spans="1:45">
      <c r="A4" s="80" t="s">
        <v>50</v>
      </c>
      <c r="B4" s="81" t="s">
        <v>51</v>
      </c>
      <c r="C4" s="82" t="s">
        <v>52</v>
      </c>
      <c r="D4" s="82" t="s">
        <v>53</v>
      </c>
      <c r="E4" s="83" t="s">
        <v>54</v>
      </c>
      <c r="F4" s="83" t="s">
        <v>55</v>
      </c>
      <c r="G4" s="184" t="s">
        <v>56</v>
      </c>
      <c r="H4" s="82" t="s">
        <v>57</v>
      </c>
      <c r="I4" s="82" t="s">
        <v>58</v>
      </c>
      <c r="J4" s="83" t="s">
        <v>59</v>
      </c>
      <c r="K4" s="82" t="s">
        <v>60</v>
      </c>
      <c r="L4" s="82">
        <v>106</v>
      </c>
      <c r="M4" s="84">
        <v>1524</v>
      </c>
      <c r="N4" s="84" t="s">
        <v>52</v>
      </c>
      <c r="O4" s="84" t="s">
        <v>52</v>
      </c>
      <c r="P4" s="85"/>
      <c r="Q4" s="86"/>
      <c r="R4" s="86"/>
      <c r="S4" s="87"/>
      <c r="T4" s="88"/>
      <c r="U4" s="86">
        <f>SUM(O4:T4)</f>
        <v>0</v>
      </c>
      <c r="V4" s="86" t="s">
        <v>52</v>
      </c>
      <c r="W4" s="86"/>
      <c r="X4" s="86">
        <f>SUM(V4:W4)</f>
        <v>0</v>
      </c>
      <c r="Y4" s="86"/>
      <c r="Z4" s="86" t="s">
        <v>52</v>
      </c>
      <c r="AA4" s="86" t="s">
        <v>52</v>
      </c>
      <c r="AB4" s="89">
        <f>SUM(Y4:AA4)</f>
        <v>0</v>
      </c>
      <c r="AC4" s="90">
        <f>ROUND(U4*0.1,2)</f>
        <v>0</v>
      </c>
      <c r="AD4" s="91">
        <f>ROUND(AC4*0.06,2)</f>
        <v>0</v>
      </c>
      <c r="AE4" s="92">
        <f>AC4+AD4</f>
        <v>0</v>
      </c>
      <c r="AF4" s="93">
        <f>X4</f>
        <v>0</v>
      </c>
      <c r="AG4" s="93">
        <f>ROUND(AF4*0.06,2)</f>
        <v>0</v>
      </c>
      <c r="AH4" s="92">
        <f>AF4+AG4</f>
        <v>0</v>
      </c>
      <c r="AI4" s="94">
        <f>AE4+AH4</f>
        <v>0</v>
      </c>
      <c r="AJ4" s="88">
        <v>1402.11</v>
      </c>
      <c r="AK4" s="95"/>
      <c r="AL4" s="88" t="s">
        <v>52</v>
      </c>
      <c r="AM4" s="88" t="s">
        <v>52</v>
      </c>
      <c r="AN4" s="96">
        <v>1534.95</v>
      </c>
      <c r="AO4" s="88"/>
      <c r="AP4" s="95"/>
      <c r="AQ4" s="95"/>
      <c r="AR4" s="97">
        <f>SUM(AJ4:AP4)</f>
        <v>2937.06</v>
      </c>
    </row>
    <row r="5" s="49" customFormat="1" ht="48" customHeight="1" spans="1:45">
      <c r="A5" s="98" t="s">
        <v>61</v>
      </c>
      <c r="B5" s="81" t="s">
        <v>62</v>
      </c>
      <c r="C5" s="82" t="s">
        <v>52</v>
      </c>
      <c r="D5" s="82" t="s">
        <v>63</v>
      </c>
      <c r="E5" s="83" t="s">
        <v>54</v>
      </c>
      <c r="F5" s="83" t="s">
        <v>55</v>
      </c>
      <c r="G5" s="185" t="s">
        <v>64</v>
      </c>
      <c r="H5" s="82" t="s">
        <v>57</v>
      </c>
      <c r="I5" s="82" t="s">
        <v>58</v>
      </c>
      <c r="J5" s="83" t="s">
        <v>59</v>
      </c>
      <c r="K5" s="82" t="s">
        <v>60</v>
      </c>
      <c r="L5" s="82">
        <v>12</v>
      </c>
      <c r="M5" s="84">
        <v>157</v>
      </c>
      <c r="N5" s="84" t="s">
        <v>52</v>
      </c>
      <c r="O5" s="84" t="s">
        <v>52</v>
      </c>
      <c r="P5" s="85"/>
      <c r="Q5" s="86"/>
      <c r="R5" s="86"/>
      <c r="S5" s="87"/>
      <c r="T5" s="88"/>
      <c r="U5" s="86">
        <f>SUM(O5:T5)</f>
        <v>0</v>
      </c>
      <c r="V5" s="86" t="s">
        <v>52</v>
      </c>
      <c r="W5" s="86"/>
      <c r="X5" s="86">
        <f>SUM(V5:W5)</f>
        <v>0</v>
      </c>
      <c r="Y5" s="86"/>
      <c r="Z5" s="86" t="s">
        <v>52</v>
      </c>
      <c r="AA5" s="86" t="s">
        <v>52</v>
      </c>
      <c r="AB5" s="89">
        <f>SUM(Y5:AA5)</f>
        <v>0</v>
      </c>
      <c r="AC5" s="90">
        <f>ROUND(U5*0.1,2)</f>
        <v>0</v>
      </c>
      <c r="AD5" s="91">
        <f>ROUND(AC5*0.06,2)</f>
        <v>0</v>
      </c>
      <c r="AE5" s="92">
        <f>AC5+AD5</f>
        <v>0</v>
      </c>
      <c r="AF5" s="93">
        <f>X5</f>
        <v>0</v>
      </c>
      <c r="AG5" s="93">
        <f>ROUND(AF5*0.06,2)</f>
        <v>0</v>
      </c>
      <c r="AH5" s="92">
        <f>AF5+AG5</f>
        <v>0</v>
      </c>
      <c r="AI5" s="94">
        <f>AE5+AH5</f>
        <v>0</v>
      </c>
      <c r="AJ5" s="88">
        <v>166.28</v>
      </c>
      <c r="AK5" s="95"/>
      <c r="AL5" s="88" t="s">
        <v>52</v>
      </c>
      <c r="AM5" s="88" t="s">
        <v>52</v>
      </c>
      <c r="AN5" s="100"/>
      <c r="AO5" s="88"/>
      <c r="AP5" s="95"/>
      <c r="AQ5" s="95"/>
      <c r="AR5" s="97">
        <f>SUM(AJ5:AP5)</f>
        <v>166.28</v>
      </c>
    </row>
    <row r="6" s="49" customFormat="1" ht="48" customHeight="1" spans="1:45">
      <c r="A6" s="98" t="s">
        <v>52</v>
      </c>
      <c r="B6" s="81" t="s">
        <v>65</v>
      </c>
      <c r="C6" s="82" t="s">
        <v>52</v>
      </c>
      <c r="D6" s="82" t="s">
        <v>66</v>
      </c>
      <c r="E6" s="83" t="s">
        <v>54</v>
      </c>
      <c r="F6" s="83" t="s">
        <v>55</v>
      </c>
      <c r="G6" s="101"/>
      <c r="H6" s="82" t="s">
        <v>57</v>
      </c>
      <c r="I6" s="82" t="s">
        <v>58</v>
      </c>
      <c r="J6" s="83" t="s">
        <v>59</v>
      </c>
      <c r="K6" s="82" t="s">
        <v>60</v>
      </c>
      <c r="L6" s="82">
        <v>8</v>
      </c>
      <c r="M6" s="84">
        <v>127</v>
      </c>
      <c r="N6" s="84" t="s">
        <v>52</v>
      </c>
      <c r="O6" s="84" t="s">
        <v>52</v>
      </c>
      <c r="P6" s="85"/>
      <c r="Q6" s="86"/>
      <c r="R6" s="86"/>
      <c r="S6" s="87"/>
      <c r="T6" s="88"/>
      <c r="U6" s="86">
        <f>SUM(O6:T6)</f>
        <v>0</v>
      </c>
      <c r="V6" s="86" t="s">
        <v>52</v>
      </c>
      <c r="W6" s="86"/>
      <c r="X6" s="86">
        <f>SUM(V6:W6)</f>
        <v>0</v>
      </c>
      <c r="Y6" s="86"/>
      <c r="Z6" s="86" t="s">
        <v>52</v>
      </c>
      <c r="AA6" s="86" t="s">
        <v>52</v>
      </c>
      <c r="AB6" s="89">
        <f>SUM(Y6:AA6)</f>
        <v>0</v>
      </c>
      <c r="AC6" s="90">
        <f>ROUND(U6*0.1,2)</f>
        <v>0</v>
      </c>
      <c r="AD6" s="91">
        <f>ROUND(AC6*0.06,2)</f>
        <v>0</v>
      </c>
      <c r="AE6" s="92">
        <f>AC6+AD6</f>
        <v>0</v>
      </c>
      <c r="AF6" s="93">
        <f>X6</f>
        <v>0</v>
      </c>
      <c r="AG6" s="93">
        <f>ROUND(AF6*0.06,2)</f>
        <v>0</v>
      </c>
      <c r="AH6" s="92">
        <f>AF6+AG6</f>
        <v>0</v>
      </c>
      <c r="AI6" s="94">
        <f>AE6+AH6</f>
        <v>0</v>
      </c>
      <c r="AJ6" s="88">
        <v>139.06</v>
      </c>
      <c r="AK6" s="95"/>
      <c r="AL6" s="88" t="s">
        <v>52</v>
      </c>
      <c r="AM6" s="88" t="s">
        <v>52</v>
      </c>
      <c r="AN6" s="102"/>
      <c r="AO6" s="88"/>
      <c r="AP6" s="95"/>
      <c r="AQ6" s="95"/>
      <c r="AR6" s="97">
        <f>SUM(AJ6:AP6)</f>
        <v>139.06</v>
      </c>
    </row>
    <row r="7" s="49" customFormat="1" ht="48" customHeight="1" spans="1:45">
      <c r="A7" s="103" t="s">
        <v>67</v>
      </c>
      <c r="B7" s="104" t="s">
        <v>68</v>
      </c>
      <c r="C7" s="82" t="s">
        <v>69</v>
      </c>
      <c r="D7" s="82" t="s">
        <v>70</v>
      </c>
      <c r="E7" s="83" t="s">
        <v>71</v>
      </c>
      <c r="F7" s="83" t="s">
        <v>55</v>
      </c>
      <c r="G7" s="185" t="s">
        <v>72</v>
      </c>
      <c r="H7" s="82" t="s">
        <v>57</v>
      </c>
      <c r="I7" s="82" t="s">
        <v>58</v>
      </c>
      <c r="J7" s="83" t="s">
        <v>73</v>
      </c>
      <c r="K7" s="82" t="s">
        <v>74</v>
      </c>
      <c r="L7" s="82">
        <v>127</v>
      </c>
      <c r="M7" s="84">
        <v>1719</v>
      </c>
      <c r="N7" s="84" t="s">
        <v>52</v>
      </c>
      <c r="O7" s="86" t="s">
        <v>52</v>
      </c>
      <c r="P7" s="85"/>
      <c r="Q7" s="86"/>
      <c r="R7" s="86"/>
      <c r="S7" s="87"/>
      <c r="T7" s="88"/>
      <c r="U7" s="86">
        <f t="shared" ref="U7:U11" si="0">SUM(O7:T7)</f>
        <v>0</v>
      </c>
      <c r="V7" s="86" t="s">
        <v>52</v>
      </c>
      <c r="W7" s="86"/>
      <c r="X7" s="86">
        <f t="shared" ref="X7:X11" si="1">SUM(V7:W7)</f>
        <v>0</v>
      </c>
      <c r="Y7" s="86"/>
      <c r="Z7" s="86" t="s">
        <v>52</v>
      </c>
      <c r="AA7" s="86" t="s">
        <v>52</v>
      </c>
      <c r="AB7" s="89">
        <f t="shared" ref="AB7:AB11" si="2">SUM(Y7:AA7)</f>
        <v>0</v>
      </c>
      <c r="AC7" s="90">
        <f t="shared" ref="AC7:AC11" si="3">ROUND(U7*0.1,2)</f>
        <v>0</v>
      </c>
      <c r="AD7" s="91">
        <f t="shared" ref="AD7:AD11" si="4">ROUND(AC7*0.06,2)</f>
        <v>0</v>
      </c>
      <c r="AE7" s="92">
        <f t="shared" ref="AE7:AE11" si="5">AC7+AD7</f>
        <v>0</v>
      </c>
      <c r="AF7" s="93">
        <f t="shared" ref="AF7:AF11" si="6">X7</f>
        <v>0</v>
      </c>
      <c r="AG7" s="93">
        <f t="shared" ref="AG7:AG11" si="7">ROUND(AF7*0.06,2)</f>
        <v>0</v>
      </c>
      <c r="AH7" s="92">
        <f t="shared" ref="AH7:AH11" si="8">AF7+AG7</f>
        <v>0</v>
      </c>
      <c r="AI7" s="94">
        <f t="shared" ref="AI7:AI11" si="9">AE7+AH7</f>
        <v>0</v>
      </c>
      <c r="AJ7" s="88">
        <f t="shared" ref="AJ7:AJ11" si="10">ROUND(U7*0.9*$AB$2,2)</f>
        <v>0</v>
      </c>
      <c r="AK7" s="95"/>
      <c r="AL7" s="88" t="s">
        <v>52</v>
      </c>
      <c r="AM7" s="88" t="s">
        <v>52</v>
      </c>
      <c r="AN7" s="96">
        <v>1713.63</v>
      </c>
      <c r="AO7" s="88"/>
      <c r="AP7" s="95"/>
      <c r="AQ7" s="95"/>
      <c r="AR7" s="97">
        <f t="shared" ref="AR7:AR11" si="11">SUM(AJ7:AP7)</f>
        <v>1713.63</v>
      </c>
    </row>
    <row r="8" s="49" customFormat="1" ht="48" customHeight="1" spans="1:45">
      <c r="A8" s="103" t="s">
        <v>67</v>
      </c>
      <c r="B8" s="104" t="s">
        <v>68</v>
      </c>
      <c r="C8" s="82" t="s">
        <v>75</v>
      </c>
      <c r="D8" s="82" t="s">
        <v>76</v>
      </c>
      <c r="E8" s="83" t="s">
        <v>71</v>
      </c>
      <c r="F8" s="83" t="s">
        <v>55</v>
      </c>
      <c r="G8" s="101"/>
      <c r="H8" s="82" t="s">
        <v>57</v>
      </c>
      <c r="I8" s="82" t="s">
        <v>58</v>
      </c>
      <c r="J8" s="83" t="s">
        <v>73</v>
      </c>
      <c r="K8" s="82" t="s">
        <v>74</v>
      </c>
      <c r="L8" s="82">
        <v>3</v>
      </c>
      <c r="M8" s="84">
        <v>49</v>
      </c>
      <c r="N8" s="84" t="s">
        <v>52</v>
      </c>
      <c r="O8" s="86" t="s">
        <v>52</v>
      </c>
      <c r="P8" s="85"/>
      <c r="Q8" s="86"/>
      <c r="R8" s="86"/>
      <c r="S8" s="87"/>
      <c r="T8" s="88"/>
      <c r="U8" s="86">
        <f t="shared" si="0"/>
        <v>0</v>
      </c>
      <c r="V8" s="86" t="s">
        <v>52</v>
      </c>
      <c r="W8" s="86"/>
      <c r="X8" s="86">
        <f t="shared" si="1"/>
        <v>0</v>
      </c>
      <c r="Y8" s="86"/>
      <c r="Z8" s="86" t="s">
        <v>52</v>
      </c>
      <c r="AA8" s="86" t="s">
        <v>52</v>
      </c>
      <c r="AB8" s="105">
        <f t="shared" si="2"/>
        <v>0</v>
      </c>
      <c r="AC8" s="90">
        <f t="shared" si="3"/>
        <v>0</v>
      </c>
      <c r="AD8" s="91">
        <f t="shared" si="4"/>
        <v>0</v>
      </c>
      <c r="AE8" s="92">
        <f t="shared" si="5"/>
        <v>0</v>
      </c>
      <c r="AF8" s="93">
        <f t="shared" si="6"/>
        <v>0</v>
      </c>
      <c r="AG8" s="93">
        <f t="shared" si="7"/>
        <v>0</v>
      </c>
      <c r="AH8" s="92">
        <f t="shared" si="8"/>
        <v>0</v>
      </c>
      <c r="AI8" s="94">
        <f t="shared" si="9"/>
        <v>0</v>
      </c>
      <c r="AJ8" s="88">
        <f t="shared" si="10"/>
        <v>0</v>
      </c>
      <c r="AK8" s="95"/>
      <c r="AL8" s="88" t="s">
        <v>52</v>
      </c>
      <c r="AM8" s="88" t="s">
        <v>52</v>
      </c>
      <c r="AN8" s="102"/>
      <c r="AO8" s="88"/>
      <c r="AP8" s="95"/>
      <c r="AQ8" s="95"/>
      <c r="AR8" s="97">
        <f t="shared" si="11"/>
        <v>0</v>
      </c>
    </row>
    <row r="9" s="49" customFormat="1" ht="48" customHeight="1" spans="1:45">
      <c r="A9" s="103" t="str">
        <f>_xlfn.XLOOKUP(C9,[1]UK!$F:$F,[1]UK!$BA:$BA,0)</f>
        <v>105PO2026-00087</v>
      </c>
      <c r="B9" s="104" t="s">
        <v>77</v>
      </c>
      <c r="C9" s="82" t="s">
        <v>78</v>
      </c>
      <c r="D9" s="82" t="s">
        <v>79</v>
      </c>
      <c r="E9" s="83" t="s">
        <v>80</v>
      </c>
      <c r="F9" s="83" t="s">
        <v>81</v>
      </c>
      <c r="G9" s="185" t="s">
        <v>82</v>
      </c>
      <c r="H9" s="82" t="s">
        <v>57</v>
      </c>
      <c r="I9" s="82" t="s">
        <v>83</v>
      </c>
      <c r="J9" s="83" t="s">
        <v>84</v>
      </c>
      <c r="K9" s="82" t="s">
        <v>74</v>
      </c>
      <c r="L9" s="82">
        <v>28</v>
      </c>
      <c r="M9" s="84">
        <v>385</v>
      </c>
      <c r="N9" s="84" t="s">
        <v>52</v>
      </c>
      <c r="O9" s="86" t="s">
        <v>52</v>
      </c>
      <c r="P9" s="85"/>
      <c r="Q9" s="86"/>
      <c r="R9" s="106"/>
      <c r="S9" s="87"/>
      <c r="T9" s="88"/>
      <c r="U9" s="86">
        <f t="shared" si="0"/>
        <v>0</v>
      </c>
      <c r="V9" s="86" t="s">
        <v>52</v>
      </c>
      <c r="W9" s="86"/>
      <c r="X9" s="86">
        <f t="shared" si="1"/>
        <v>0</v>
      </c>
      <c r="Y9" s="86"/>
      <c r="Z9" s="86" t="s">
        <v>52</v>
      </c>
      <c r="AA9" s="86" t="s">
        <v>52</v>
      </c>
      <c r="AB9" s="89">
        <f t="shared" si="2"/>
        <v>0</v>
      </c>
      <c r="AC9" s="90">
        <f t="shared" si="3"/>
        <v>0</v>
      </c>
      <c r="AD9" s="91">
        <f t="shared" si="4"/>
        <v>0</v>
      </c>
      <c r="AE9" s="92">
        <f t="shared" si="5"/>
        <v>0</v>
      </c>
      <c r="AF9" s="93">
        <f t="shared" si="6"/>
        <v>0</v>
      </c>
      <c r="AG9" s="93">
        <f t="shared" si="7"/>
        <v>0</v>
      </c>
      <c r="AH9" s="92">
        <f t="shared" si="8"/>
        <v>0</v>
      </c>
      <c r="AI9" s="94">
        <f t="shared" si="9"/>
        <v>0</v>
      </c>
      <c r="AJ9" s="88">
        <f t="shared" si="10"/>
        <v>0</v>
      </c>
      <c r="AK9" s="95"/>
      <c r="AL9" s="88" t="s">
        <v>52</v>
      </c>
      <c r="AM9" s="88" t="s">
        <v>52</v>
      </c>
      <c r="AN9" s="107">
        <f>46.91*Y2</f>
        <v>55.888574</v>
      </c>
      <c r="AO9" s="88"/>
      <c r="AP9" s="95"/>
      <c r="AQ9" s="95"/>
      <c r="AR9" s="97">
        <f t="shared" si="11"/>
        <v>55.888574</v>
      </c>
    </row>
    <row r="10" s="49" customFormat="1" ht="48" customHeight="1" spans="1:45">
      <c r="A10" s="103" t="str">
        <f>_xlfn.XLOOKUP(C10,[1]UK!$F:$F,[1]UK!$BA:$BA,0)</f>
        <v>105PO2026-00087</v>
      </c>
      <c r="B10" s="104" t="s">
        <v>77</v>
      </c>
      <c r="C10" s="82" t="s">
        <v>85</v>
      </c>
      <c r="D10" s="82" t="s">
        <v>86</v>
      </c>
      <c r="E10" s="83" t="s">
        <v>80</v>
      </c>
      <c r="F10" s="83" t="s">
        <v>81</v>
      </c>
      <c r="G10" s="108"/>
      <c r="H10" s="82" t="s">
        <v>57</v>
      </c>
      <c r="I10" s="82" t="s">
        <v>83</v>
      </c>
      <c r="J10" s="83" t="s">
        <v>84</v>
      </c>
      <c r="K10" s="82" t="s">
        <v>74</v>
      </c>
      <c r="L10" s="82">
        <v>5</v>
      </c>
      <c r="M10" s="84">
        <v>51</v>
      </c>
      <c r="N10" s="84" t="s">
        <v>52</v>
      </c>
      <c r="O10" s="86" t="s">
        <v>52</v>
      </c>
      <c r="P10" s="85"/>
      <c r="Q10" s="86"/>
      <c r="R10" s="86"/>
      <c r="S10" s="87"/>
      <c r="T10" s="88"/>
      <c r="U10" s="86">
        <f t="shared" si="0"/>
        <v>0</v>
      </c>
      <c r="V10" s="86" t="s">
        <v>52</v>
      </c>
      <c r="W10" s="86"/>
      <c r="X10" s="86">
        <f t="shared" si="1"/>
        <v>0</v>
      </c>
      <c r="Y10" s="86"/>
      <c r="Z10" s="86" t="s">
        <v>52</v>
      </c>
      <c r="AA10" s="86" t="s">
        <v>52</v>
      </c>
      <c r="AB10" s="89">
        <f t="shared" si="2"/>
        <v>0</v>
      </c>
      <c r="AC10" s="90">
        <f t="shared" si="3"/>
        <v>0</v>
      </c>
      <c r="AD10" s="91">
        <f t="shared" si="4"/>
        <v>0</v>
      </c>
      <c r="AE10" s="92">
        <f t="shared" si="5"/>
        <v>0</v>
      </c>
      <c r="AF10" s="93">
        <f t="shared" si="6"/>
        <v>0</v>
      </c>
      <c r="AG10" s="93">
        <f t="shared" si="7"/>
        <v>0</v>
      </c>
      <c r="AH10" s="92">
        <f t="shared" si="8"/>
        <v>0</v>
      </c>
      <c r="AI10" s="94">
        <f t="shared" si="9"/>
        <v>0</v>
      </c>
      <c r="AJ10" s="88">
        <f t="shared" si="10"/>
        <v>0</v>
      </c>
      <c r="AK10" s="95"/>
      <c r="AL10" s="88" t="s">
        <v>52</v>
      </c>
      <c r="AM10" s="88" t="s">
        <v>52</v>
      </c>
      <c r="AN10" s="109">
        <v>0</v>
      </c>
      <c r="AO10" s="88"/>
      <c r="AP10" s="95"/>
      <c r="AQ10" s="95"/>
      <c r="AR10" s="97">
        <f t="shared" si="11"/>
        <v>0</v>
      </c>
    </row>
    <row r="11" s="49" customFormat="1" ht="48" customHeight="1" spans="1:45">
      <c r="A11" s="103" t="str">
        <f>_xlfn.XLOOKUP(C11,[1]UK!$F:$F,[1]UK!$BA:$BA,0)</f>
        <v>105PO2026-00087</v>
      </c>
      <c r="B11" s="104" t="s">
        <v>77</v>
      </c>
      <c r="C11" s="82" t="s">
        <v>87</v>
      </c>
      <c r="D11" s="82" t="s">
        <v>88</v>
      </c>
      <c r="E11" s="83" t="s">
        <v>80</v>
      </c>
      <c r="F11" s="83" t="s">
        <v>81</v>
      </c>
      <c r="G11" s="101"/>
      <c r="H11" s="82" t="s">
        <v>57</v>
      </c>
      <c r="I11" s="82" t="s">
        <v>83</v>
      </c>
      <c r="J11" s="83" t="s">
        <v>84</v>
      </c>
      <c r="K11" s="82" t="s">
        <v>74</v>
      </c>
      <c r="L11" s="82">
        <v>41</v>
      </c>
      <c r="M11" s="84">
        <v>692</v>
      </c>
      <c r="N11" s="84" t="s">
        <v>52</v>
      </c>
      <c r="O11" s="86" t="s">
        <v>52</v>
      </c>
      <c r="P11" s="85"/>
      <c r="Q11" s="86"/>
      <c r="R11" s="86"/>
      <c r="S11" s="87"/>
      <c r="T11" s="88"/>
      <c r="U11" s="86">
        <f t="shared" si="0"/>
        <v>0</v>
      </c>
      <c r="V11" s="86" t="s">
        <v>52</v>
      </c>
      <c r="W11" s="86"/>
      <c r="X11" s="86">
        <f t="shared" si="1"/>
        <v>0</v>
      </c>
      <c r="Y11" s="86"/>
      <c r="Z11" s="86" t="s">
        <v>52</v>
      </c>
      <c r="AA11" s="86" t="s">
        <v>52</v>
      </c>
      <c r="AB11" s="89">
        <f t="shared" si="2"/>
        <v>0</v>
      </c>
      <c r="AC11" s="90">
        <f t="shared" si="3"/>
        <v>0</v>
      </c>
      <c r="AD11" s="91">
        <f t="shared" si="4"/>
        <v>0</v>
      </c>
      <c r="AE11" s="92">
        <f t="shared" si="5"/>
        <v>0</v>
      </c>
      <c r="AF11" s="93">
        <f t="shared" si="6"/>
        <v>0</v>
      </c>
      <c r="AG11" s="93">
        <f t="shared" si="7"/>
        <v>0</v>
      </c>
      <c r="AH11" s="92">
        <f t="shared" si="8"/>
        <v>0</v>
      </c>
      <c r="AI11" s="94">
        <f t="shared" si="9"/>
        <v>0</v>
      </c>
      <c r="AJ11" s="88">
        <f t="shared" si="10"/>
        <v>0</v>
      </c>
      <c r="AK11" s="95"/>
      <c r="AL11" s="88" t="s">
        <v>52</v>
      </c>
      <c r="AM11" s="88" t="s">
        <v>52</v>
      </c>
      <c r="AN11" s="109">
        <v>0</v>
      </c>
      <c r="AO11" s="88"/>
      <c r="AP11" s="95"/>
      <c r="AQ11" s="95"/>
      <c r="AR11" s="97">
        <f t="shared" si="11"/>
        <v>0</v>
      </c>
    </row>
    <row r="12" s="49" customFormat="1" ht="48" customHeight="1" spans="1:45">
      <c r="A12" s="103" t="str">
        <f>_xlfn.XLOOKUP(C12,[1]UK!$F:$F,[1]UK!$BA:$BA,0)</f>
        <v>105PO2026-00087</v>
      </c>
      <c r="B12" s="104" t="s">
        <v>89</v>
      </c>
      <c r="C12" s="82" t="s">
        <v>90</v>
      </c>
      <c r="D12" s="82" t="s">
        <v>91</v>
      </c>
      <c r="E12" s="83" t="s">
        <v>92</v>
      </c>
      <c r="F12" s="83" t="s">
        <v>81</v>
      </c>
      <c r="G12" s="185" t="s">
        <v>93</v>
      </c>
      <c r="H12" s="82" t="s">
        <v>57</v>
      </c>
      <c r="I12" s="82" t="s">
        <v>83</v>
      </c>
      <c r="J12" s="83" t="s">
        <v>84</v>
      </c>
      <c r="K12" s="82" t="s">
        <v>74</v>
      </c>
      <c r="L12" s="82">
        <v>99</v>
      </c>
      <c r="M12" s="84">
        <v>1581</v>
      </c>
      <c r="N12" s="86" t="s">
        <v>52</v>
      </c>
      <c r="O12" s="86" t="s">
        <v>52</v>
      </c>
      <c r="P12" s="85"/>
      <c r="Q12" s="86"/>
      <c r="R12" s="86"/>
      <c r="S12" s="87"/>
      <c r="T12" s="88"/>
      <c r="U12" s="86">
        <f t="shared" ref="U12:U18" si="12">SUM(O12:T12)</f>
        <v>0</v>
      </c>
      <c r="V12" s="86" t="s">
        <v>52</v>
      </c>
      <c r="W12" s="86"/>
      <c r="X12" s="86">
        <f t="shared" ref="X12:X18" si="13">SUM(V12:W12)</f>
        <v>0</v>
      </c>
      <c r="Y12" s="86"/>
      <c r="Z12" s="86" t="s">
        <v>52</v>
      </c>
      <c r="AA12" s="86" t="s">
        <v>52</v>
      </c>
      <c r="AB12" s="89">
        <f t="shared" ref="AB12:AB18" si="14">SUM(Y12:AA12)</f>
        <v>0</v>
      </c>
      <c r="AC12" s="90">
        <f t="shared" ref="AC12:AC18" si="15">ROUND(U12*0.1,2)</f>
        <v>0</v>
      </c>
      <c r="AD12" s="91">
        <f t="shared" ref="AD12:AD18" si="16">ROUND(AC12*0.06,2)</f>
        <v>0</v>
      </c>
      <c r="AE12" s="92">
        <f t="shared" ref="AE12:AE18" si="17">AC12+AD12</f>
        <v>0</v>
      </c>
      <c r="AF12" s="93">
        <f t="shared" ref="AF12:AF18" si="18">X12</f>
        <v>0</v>
      </c>
      <c r="AG12" s="93">
        <f t="shared" ref="AG12:AG18" si="19">ROUND(AF12*0.06,2)</f>
        <v>0</v>
      </c>
      <c r="AH12" s="92">
        <f t="shared" ref="AH12:AH18" si="20">AF12+AG12</f>
        <v>0</v>
      </c>
      <c r="AI12" s="94">
        <f t="shared" ref="AI12:AI18" si="21">AE12+AH12</f>
        <v>0</v>
      </c>
      <c r="AJ12" s="88">
        <f t="shared" ref="AJ12:AJ18" si="22">ROUND(U12*0.9*$AB$2,2)</f>
        <v>0</v>
      </c>
      <c r="AK12" s="95"/>
      <c r="AL12" s="88" t="s">
        <v>52</v>
      </c>
      <c r="AM12" s="88" t="s">
        <v>52</v>
      </c>
      <c r="AN12" s="88">
        <v>0</v>
      </c>
      <c r="AO12" s="88"/>
      <c r="AP12" s="95"/>
      <c r="AQ12" s="95"/>
      <c r="AR12" s="97">
        <f t="shared" ref="AR12:AR18" si="23">SUM(AJ12:AP12)</f>
        <v>0</v>
      </c>
    </row>
    <row r="13" s="49" customFormat="1" ht="48" customHeight="1" spans="1:45">
      <c r="A13" s="103" t="str">
        <f>_xlfn.XLOOKUP(C13,[1]UK!$F:$F,[1]UK!$BA:$BA,0)</f>
        <v>105PO2026-00087</v>
      </c>
      <c r="B13" s="104" t="s">
        <v>89</v>
      </c>
      <c r="C13" s="82" t="s">
        <v>94</v>
      </c>
      <c r="D13" s="82" t="s">
        <v>95</v>
      </c>
      <c r="E13" s="83" t="s">
        <v>92</v>
      </c>
      <c r="F13" s="83" t="s">
        <v>81</v>
      </c>
      <c r="G13" s="101"/>
      <c r="H13" s="82" t="s">
        <v>57</v>
      </c>
      <c r="I13" s="82" t="s">
        <v>83</v>
      </c>
      <c r="J13" s="83" t="s">
        <v>84</v>
      </c>
      <c r="K13" s="82" t="s">
        <v>74</v>
      </c>
      <c r="L13" s="82">
        <v>15</v>
      </c>
      <c r="M13" s="84">
        <v>325</v>
      </c>
      <c r="N13" s="86" t="s">
        <v>52</v>
      </c>
      <c r="O13" s="86" t="s">
        <v>52</v>
      </c>
      <c r="P13" s="85"/>
      <c r="Q13" s="86"/>
      <c r="R13" s="86"/>
      <c r="S13" s="87"/>
      <c r="T13" s="88"/>
      <c r="U13" s="86">
        <f t="shared" si="12"/>
        <v>0</v>
      </c>
      <c r="V13" s="86" t="s">
        <v>52</v>
      </c>
      <c r="W13" s="86"/>
      <c r="X13" s="86">
        <f t="shared" si="13"/>
        <v>0</v>
      </c>
      <c r="Y13" s="86"/>
      <c r="Z13" s="86" t="s">
        <v>52</v>
      </c>
      <c r="AA13" s="86" t="s">
        <v>52</v>
      </c>
      <c r="AB13" s="89">
        <f t="shared" si="14"/>
        <v>0</v>
      </c>
      <c r="AC13" s="90">
        <f t="shared" si="15"/>
        <v>0</v>
      </c>
      <c r="AD13" s="91">
        <f t="shared" si="16"/>
        <v>0</v>
      </c>
      <c r="AE13" s="92">
        <f t="shared" si="17"/>
        <v>0</v>
      </c>
      <c r="AF13" s="93">
        <f t="shared" si="18"/>
        <v>0</v>
      </c>
      <c r="AG13" s="93">
        <f t="shared" si="19"/>
        <v>0</v>
      </c>
      <c r="AH13" s="92">
        <f t="shared" si="20"/>
        <v>0</v>
      </c>
      <c r="AI13" s="94">
        <f t="shared" si="21"/>
        <v>0</v>
      </c>
      <c r="AJ13" s="88">
        <f t="shared" si="22"/>
        <v>0</v>
      </c>
      <c r="AK13" s="95"/>
      <c r="AL13" s="88" t="s">
        <v>52</v>
      </c>
      <c r="AM13" s="88" t="s">
        <v>52</v>
      </c>
      <c r="AN13" s="88">
        <v>0</v>
      </c>
      <c r="AO13" s="88"/>
      <c r="AP13" s="95"/>
      <c r="AQ13" s="95"/>
      <c r="AR13" s="97">
        <f t="shared" si="23"/>
        <v>0</v>
      </c>
    </row>
    <row r="14" s="49" customFormat="1" ht="48" customHeight="1" spans="1:45">
      <c r="A14" s="103" t="str">
        <f>_xlfn.XLOOKUP(C14,[1]DE!$F:$F,[1]DE!$AX:$AX,0)</f>
        <v>105PO2026-00086</v>
      </c>
      <c r="B14" s="104" t="str">
        <f>_xlfn.XLOOKUP(C14,[1]DE!$F:$F,[1]DE!$AV:$AV,0)</f>
        <v>101SO2603260038</v>
      </c>
      <c r="C14" s="82" t="s">
        <v>96</v>
      </c>
      <c r="D14" s="82" t="s">
        <v>97</v>
      </c>
      <c r="E14" s="83" t="s">
        <v>98</v>
      </c>
      <c r="F14" s="83" t="s">
        <v>55</v>
      </c>
      <c r="G14" s="185" t="s">
        <v>99</v>
      </c>
      <c r="H14" s="82" t="s">
        <v>57</v>
      </c>
      <c r="I14" s="82" t="s">
        <v>58</v>
      </c>
      <c r="J14" s="83" t="s">
        <v>73</v>
      </c>
      <c r="K14" s="82" t="s">
        <v>74</v>
      </c>
      <c r="L14" s="82">
        <v>13</v>
      </c>
      <c r="M14" s="84">
        <v>145</v>
      </c>
      <c r="N14" s="86" t="s">
        <v>52</v>
      </c>
      <c r="O14" s="86" t="s">
        <v>52</v>
      </c>
      <c r="P14" s="85"/>
      <c r="Q14" s="86"/>
      <c r="R14" s="86"/>
      <c r="S14" s="87"/>
      <c r="T14" s="88"/>
      <c r="U14" s="86">
        <f t="shared" si="12"/>
        <v>0</v>
      </c>
      <c r="V14" s="86" t="s">
        <v>52</v>
      </c>
      <c r="W14" s="86"/>
      <c r="X14" s="86">
        <f t="shared" si="13"/>
        <v>0</v>
      </c>
      <c r="Y14" s="86"/>
      <c r="Z14" s="86" t="s">
        <v>52</v>
      </c>
      <c r="AA14" s="86" t="s">
        <v>52</v>
      </c>
      <c r="AB14" s="89">
        <f t="shared" si="14"/>
        <v>0</v>
      </c>
      <c r="AC14" s="90">
        <f t="shared" si="15"/>
        <v>0</v>
      </c>
      <c r="AD14" s="91">
        <f t="shared" si="16"/>
        <v>0</v>
      </c>
      <c r="AE14" s="92">
        <f t="shared" si="17"/>
        <v>0</v>
      </c>
      <c r="AF14" s="93">
        <f t="shared" si="18"/>
        <v>0</v>
      </c>
      <c r="AG14" s="93">
        <f t="shared" si="19"/>
        <v>0</v>
      </c>
      <c r="AH14" s="92">
        <f t="shared" si="20"/>
        <v>0</v>
      </c>
      <c r="AI14" s="94">
        <f t="shared" si="21"/>
        <v>0</v>
      </c>
      <c r="AJ14" s="88">
        <f t="shared" si="22"/>
        <v>0</v>
      </c>
      <c r="AK14" s="95"/>
      <c r="AL14" s="88" t="s">
        <v>52</v>
      </c>
      <c r="AM14" s="88" t="s">
        <v>52</v>
      </c>
      <c r="AN14" s="110" t="s">
        <v>100</v>
      </c>
      <c r="AO14" s="88"/>
      <c r="AP14" s="95"/>
      <c r="AQ14" s="95"/>
      <c r="AR14" s="97">
        <f t="shared" si="23"/>
        <v>0</v>
      </c>
    </row>
    <row r="15" s="49" customFormat="1" ht="48" customHeight="1" spans="1:45">
      <c r="A15" s="103" t="str">
        <f>_xlfn.XLOOKUP(C15,[1]DE!$F:$F,[1]DE!$AX:$AX,0)</f>
        <v>105PO2026-00086</v>
      </c>
      <c r="B15" s="104" t="str">
        <f>_xlfn.XLOOKUP(C15,[1]DE!$F:$F,[1]DE!$AV:$AV,0)</f>
        <v>101SO2603260038</v>
      </c>
      <c r="C15" s="82" t="s">
        <v>101</v>
      </c>
      <c r="D15" s="82" t="s">
        <v>102</v>
      </c>
      <c r="E15" s="83" t="s">
        <v>98</v>
      </c>
      <c r="F15" s="83" t="s">
        <v>55</v>
      </c>
      <c r="G15" s="101"/>
      <c r="H15" s="82" t="s">
        <v>57</v>
      </c>
      <c r="I15" s="82" t="s">
        <v>58</v>
      </c>
      <c r="J15" s="83" t="s">
        <v>73</v>
      </c>
      <c r="K15" s="82" t="s">
        <v>74</v>
      </c>
      <c r="L15" s="82">
        <v>54</v>
      </c>
      <c r="M15" s="84">
        <v>721</v>
      </c>
      <c r="N15" s="86" t="s">
        <v>52</v>
      </c>
      <c r="O15" s="86" t="s">
        <v>52</v>
      </c>
      <c r="P15" s="85"/>
      <c r="Q15" s="86"/>
      <c r="R15" s="86"/>
      <c r="S15" s="87"/>
      <c r="T15" s="88"/>
      <c r="U15" s="86">
        <f t="shared" si="12"/>
        <v>0</v>
      </c>
      <c r="V15" s="86" t="s">
        <v>52</v>
      </c>
      <c r="W15" s="86"/>
      <c r="X15" s="86">
        <f t="shared" si="13"/>
        <v>0</v>
      </c>
      <c r="Y15" s="86"/>
      <c r="Z15" s="86" t="s">
        <v>52</v>
      </c>
      <c r="AA15" s="86" t="s">
        <v>52</v>
      </c>
      <c r="AB15" s="89">
        <f t="shared" si="14"/>
        <v>0</v>
      </c>
      <c r="AC15" s="90">
        <f t="shared" si="15"/>
        <v>0</v>
      </c>
      <c r="AD15" s="91">
        <f t="shared" si="16"/>
        <v>0</v>
      </c>
      <c r="AE15" s="92">
        <f t="shared" si="17"/>
        <v>0</v>
      </c>
      <c r="AF15" s="93">
        <f t="shared" si="18"/>
        <v>0</v>
      </c>
      <c r="AG15" s="93">
        <f t="shared" si="19"/>
        <v>0</v>
      </c>
      <c r="AH15" s="92">
        <f t="shared" si="20"/>
        <v>0</v>
      </c>
      <c r="AI15" s="94">
        <f t="shared" si="21"/>
        <v>0</v>
      </c>
      <c r="AJ15" s="88">
        <f t="shared" si="22"/>
        <v>0</v>
      </c>
      <c r="AK15" s="95"/>
      <c r="AL15" s="88" t="s">
        <v>52</v>
      </c>
      <c r="AM15" s="88" t="s">
        <v>52</v>
      </c>
      <c r="AN15" s="110" t="s">
        <v>100</v>
      </c>
      <c r="AO15" s="88"/>
      <c r="AP15" s="95"/>
      <c r="AQ15" s="95"/>
      <c r="AR15" s="97">
        <f t="shared" si="23"/>
        <v>0</v>
      </c>
    </row>
    <row r="16" s="49" customFormat="1" ht="48" customHeight="1" spans="1:45">
      <c r="A16" s="103" t="str">
        <f>_xlfn.XLOOKUP(C16,[1]DE!$F:$F,[1]DE!$AX:$AX,0)</f>
        <v>105PO2026-00086</v>
      </c>
      <c r="B16" s="104" t="str">
        <f>_xlfn.XLOOKUP(C16,[1]DE!$F:$F,[1]DE!$AV:$AV,0)</f>
        <v>101SO2603260038</v>
      </c>
      <c r="C16" s="82" t="s">
        <v>103</v>
      </c>
      <c r="D16" s="82" t="s">
        <v>104</v>
      </c>
      <c r="E16" s="83" t="s">
        <v>105</v>
      </c>
      <c r="F16" s="83" t="s">
        <v>55</v>
      </c>
      <c r="G16" s="184" t="s">
        <v>106</v>
      </c>
      <c r="H16" s="82" t="s">
        <v>57</v>
      </c>
      <c r="I16" s="82" t="s">
        <v>58</v>
      </c>
      <c r="J16" s="83" t="s">
        <v>73</v>
      </c>
      <c r="K16" s="82" t="s">
        <v>74</v>
      </c>
      <c r="L16" s="82">
        <v>125</v>
      </c>
      <c r="M16" s="84">
        <v>2007</v>
      </c>
      <c r="N16" s="86" t="s">
        <v>52</v>
      </c>
      <c r="O16" s="86" t="s">
        <v>52</v>
      </c>
      <c r="P16" s="85"/>
      <c r="Q16" s="86"/>
      <c r="R16" s="86"/>
      <c r="S16" s="87"/>
      <c r="T16" s="88"/>
      <c r="U16" s="86">
        <f t="shared" si="12"/>
        <v>0</v>
      </c>
      <c r="V16" s="86" t="s">
        <v>52</v>
      </c>
      <c r="W16" s="86"/>
      <c r="X16" s="86">
        <f t="shared" si="13"/>
        <v>0</v>
      </c>
      <c r="Y16" s="86"/>
      <c r="Z16" s="86" t="s">
        <v>52</v>
      </c>
      <c r="AA16" s="86" t="s">
        <v>52</v>
      </c>
      <c r="AB16" s="89">
        <f t="shared" si="14"/>
        <v>0</v>
      </c>
      <c r="AC16" s="90">
        <f t="shared" si="15"/>
        <v>0</v>
      </c>
      <c r="AD16" s="91">
        <f t="shared" si="16"/>
        <v>0</v>
      </c>
      <c r="AE16" s="92">
        <f t="shared" si="17"/>
        <v>0</v>
      </c>
      <c r="AF16" s="93">
        <f t="shared" si="18"/>
        <v>0</v>
      </c>
      <c r="AG16" s="93">
        <f t="shared" si="19"/>
        <v>0</v>
      </c>
      <c r="AH16" s="92">
        <f t="shared" si="20"/>
        <v>0</v>
      </c>
      <c r="AI16" s="94">
        <f t="shared" si="21"/>
        <v>0</v>
      </c>
      <c r="AJ16" s="88">
        <f t="shared" si="22"/>
        <v>0</v>
      </c>
      <c r="AK16" s="95"/>
      <c r="AL16" s="88" t="s">
        <v>52</v>
      </c>
      <c r="AM16" s="88" t="s">
        <v>52</v>
      </c>
      <c r="AN16" s="110" t="s">
        <v>100</v>
      </c>
      <c r="AO16" s="88"/>
      <c r="AP16" s="95"/>
      <c r="AQ16" s="95"/>
      <c r="AR16" s="97">
        <f t="shared" si="23"/>
        <v>0</v>
      </c>
    </row>
    <row r="17" s="49" customFormat="1" ht="48" customHeight="1" spans="1:44">
      <c r="A17" s="111" t="s">
        <v>107</v>
      </c>
      <c r="B17" s="81" t="s">
        <v>108</v>
      </c>
      <c r="C17" s="82" t="s">
        <v>52</v>
      </c>
      <c r="D17" s="82" t="s">
        <v>109</v>
      </c>
      <c r="E17" s="83" t="s">
        <v>54</v>
      </c>
      <c r="F17" s="83" t="s">
        <v>55</v>
      </c>
      <c r="G17" s="184" t="s">
        <v>110</v>
      </c>
      <c r="H17" s="82" t="s">
        <v>57</v>
      </c>
      <c r="I17" s="82" t="s">
        <v>58</v>
      </c>
      <c r="J17" s="83" t="s">
        <v>59</v>
      </c>
      <c r="K17" s="82" t="s">
        <v>60</v>
      </c>
      <c r="L17" s="82">
        <v>38</v>
      </c>
      <c r="M17" s="84">
        <v>551</v>
      </c>
      <c r="N17" s="86" t="s">
        <v>52</v>
      </c>
      <c r="O17" s="86" t="s">
        <v>52</v>
      </c>
      <c r="P17" s="85"/>
      <c r="Q17" s="86"/>
      <c r="R17" s="86"/>
      <c r="S17" s="87"/>
      <c r="T17" s="88"/>
      <c r="U17" s="86">
        <f t="shared" si="12"/>
        <v>0</v>
      </c>
      <c r="V17" s="86" t="s">
        <v>52</v>
      </c>
      <c r="W17" s="86"/>
      <c r="X17" s="86">
        <f t="shared" si="13"/>
        <v>0</v>
      </c>
      <c r="Y17" s="86"/>
      <c r="Z17" s="86" t="s">
        <v>52</v>
      </c>
      <c r="AA17" s="86" t="s">
        <v>52</v>
      </c>
      <c r="AB17" s="89">
        <f t="shared" si="14"/>
        <v>0</v>
      </c>
      <c r="AC17" s="90">
        <f t="shared" si="15"/>
        <v>0</v>
      </c>
      <c r="AD17" s="91">
        <f t="shared" si="16"/>
        <v>0</v>
      </c>
      <c r="AE17" s="92">
        <f t="shared" si="17"/>
        <v>0</v>
      </c>
      <c r="AF17" s="93">
        <f t="shared" si="18"/>
        <v>0</v>
      </c>
      <c r="AG17" s="93">
        <f t="shared" si="19"/>
        <v>0</v>
      </c>
      <c r="AH17" s="92">
        <f t="shared" si="20"/>
        <v>0</v>
      </c>
      <c r="AI17" s="94">
        <f t="shared" si="21"/>
        <v>0</v>
      </c>
      <c r="AJ17" s="88">
        <f t="shared" si="22"/>
        <v>0</v>
      </c>
      <c r="AK17" s="95"/>
      <c r="AL17" s="88" t="s">
        <v>52</v>
      </c>
      <c r="AM17" s="88" t="s">
        <v>52</v>
      </c>
      <c r="AN17" s="88">
        <v>552.59</v>
      </c>
      <c r="AO17" s="88"/>
      <c r="AP17" s="95"/>
      <c r="AQ17" s="95"/>
      <c r="AR17" s="97">
        <f t="shared" si="23"/>
        <v>552.59</v>
      </c>
    </row>
    <row r="18" s="49" customFormat="1" ht="48" customHeight="1" spans="1:44">
      <c r="A18" s="111" t="s">
        <v>111</v>
      </c>
      <c r="B18" s="81" t="s">
        <v>112</v>
      </c>
      <c r="C18" s="82" t="s">
        <v>52</v>
      </c>
      <c r="D18" s="82" t="s">
        <v>113</v>
      </c>
      <c r="E18" s="83" t="s">
        <v>54</v>
      </c>
      <c r="F18" s="83" t="s">
        <v>55</v>
      </c>
      <c r="G18" s="184" t="s">
        <v>114</v>
      </c>
      <c r="H18" s="82" t="s">
        <v>57</v>
      </c>
      <c r="I18" s="82" t="s">
        <v>58</v>
      </c>
      <c r="J18" s="83" t="s">
        <v>59</v>
      </c>
      <c r="K18" s="82" t="s">
        <v>60</v>
      </c>
      <c r="L18" s="82">
        <v>42</v>
      </c>
      <c r="M18" s="84">
        <v>581</v>
      </c>
      <c r="N18" s="86" t="s">
        <v>52</v>
      </c>
      <c r="O18" s="86" t="s">
        <v>52</v>
      </c>
      <c r="P18" s="112"/>
      <c r="Q18" s="84"/>
      <c r="R18" s="82"/>
      <c r="S18" s="84"/>
      <c r="T18" s="86"/>
      <c r="U18" s="86">
        <f t="shared" si="12"/>
        <v>0</v>
      </c>
      <c r="V18" s="86" t="s">
        <v>52</v>
      </c>
      <c r="W18" s="86"/>
      <c r="X18" s="86">
        <f t="shared" si="13"/>
        <v>0</v>
      </c>
      <c r="Y18" s="86"/>
      <c r="Z18" s="86" t="s">
        <v>52</v>
      </c>
      <c r="AA18" s="86" t="s">
        <v>52</v>
      </c>
      <c r="AB18" s="89">
        <f t="shared" si="14"/>
        <v>0</v>
      </c>
      <c r="AC18" s="90">
        <f t="shared" si="15"/>
        <v>0</v>
      </c>
      <c r="AD18" s="91">
        <f t="shared" si="16"/>
        <v>0</v>
      </c>
      <c r="AE18" s="92">
        <f t="shared" si="17"/>
        <v>0</v>
      </c>
      <c r="AF18" s="93">
        <f t="shared" si="18"/>
        <v>0</v>
      </c>
      <c r="AG18" s="93">
        <f t="shared" si="19"/>
        <v>0</v>
      </c>
      <c r="AH18" s="92">
        <f t="shared" si="20"/>
        <v>0</v>
      </c>
      <c r="AI18" s="94">
        <f t="shared" si="21"/>
        <v>0</v>
      </c>
      <c r="AJ18" s="88">
        <f t="shared" si="22"/>
        <v>0</v>
      </c>
      <c r="AK18" s="95"/>
      <c r="AL18" s="88" t="s">
        <v>52</v>
      </c>
      <c r="AM18" s="88" t="s">
        <v>52</v>
      </c>
      <c r="AN18" s="113" t="s">
        <v>100</v>
      </c>
      <c r="AO18" s="88"/>
      <c r="AP18" s="95"/>
      <c r="AQ18" s="95"/>
      <c r="AR18" s="97">
        <f t="shared" si="23"/>
        <v>0</v>
      </c>
    </row>
    <row r="19" s="49" customFormat="1" ht="48" customHeight="1" spans="1:44">
      <c r="A19" s="103" t="s">
        <v>115</v>
      </c>
      <c r="B19" s="81" t="s">
        <v>116</v>
      </c>
      <c r="C19" s="82" t="s">
        <v>117</v>
      </c>
      <c r="D19" s="82" t="s">
        <v>118</v>
      </c>
      <c r="E19" s="83" t="s">
        <v>98</v>
      </c>
      <c r="F19" s="83" t="s">
        <v>55</v>
      </c>
      <c r="G19" s="185" t="s">
        <v>119</v>
      </c>
      <c r="H19" s="82" t="s">
        <v>57</v>
      </c>
      <c r="I19" s="82" t="s">
        <v>58</v>
      </c>
      <c r="J19" s="83" t="s">
        <v>73</v>
      </c>
      <c r="K19" s="82" t="s">
        <v>74</v>
      </c>
      <c r="L19" s="82">
        <v>28</v>
      </c>
      <c r="M19" s="84">
        <v>417</v>
      </c>
      <c r="N19" s="86" t="s">
        <v>52</v>
      </c>
      <c r="O19" s="86" t="s">
        <v>52</v>
      </c>
      <c r="P19" s="112"/>
      <c r="Q19" s="84"/>
      <c r="R19" s="82"/>
      <c r="S19" s="84"/>
      <c r="T19" s="86"/>
      <c r="U19" s="86">
        <f t="shared" ref="U19:U31" si="24">SUM(O19:T19)</f>
        <v>0</v>
      </c>
      <c r="V19" s="86" t="s">
        <v>52</v>
      </c>
      <c r="W19" s="86"/>
      <c r="X19" s="86">
        <f t="shared" ref="V19:Z19" si="25">SUM(V19:W19)</f>
        <v>0</v>
      </c>
      <c r="Y19" s="86"/>
      <c r="Z19" s="86">
        <f t="shared" si="25"/>
        <v>0</v>
      </c>
      <c r="AA19" s="114">
        <v>170.02</v>
      </c>
      <c r="AB19" s="89">
        <f t="shared" ref="AB19:AB31" si="26">SUM(Y19:AA19)</f>
        <v>170.02</v>
      </c>
      <c r="AC19" s="90">
        <f t="shared" ref="AC19:AC33" si="27">ROUND(U19*0.1,2)</f>
        <v>0</v>
      </c>
      <c r="AD19" s="91">
        <f t="shared" ref="AD19:AD33" si="28">ROUND(AC19*0.06,2)</f>
        <v>0</v>
      </c>
      <c r="AE19" s="92">
        <f t="shared" ref="AE19:AE33" si="29">AC19+AD19</f>
        <v>0</v>
      </c>
      <c r="AF19" s="93">
        <f t="shared" ref="AF19:AF33" si="30">X19</f>
        <v>0</v>
      </c>
      <c r="AG19" s="93">
        <f t="shared" ref="AG19:AG33" si="31">ROUND(AF19*0.06,2)</f>
        <v>0</v>
      </c>
      <c r="AH19" s="92">
        <f t="shared" ref="AH19:AH33" si="32">AF19+AG19</f>
        <v>0</v>
      </c>
      <c r="AI19" s="94">
        <f t="shared" ref="AI19:AI33" si="33">AE19+AH19</f>
        <v>0</v>
      </c>
      <c r="AJ19" s="88">
        <f t="shared" ref="AJ19:AJ33" si="34">ROUND(U19*0.9*$AB$2,2)</f>
        <v>0</v>
      </c>
      <c r="AK19" s="95"/>
      <c r="AL19" s="88">
        <f t="shared" ref="AL19:AL33" si="35">ROUND(Z19*$AB$2,2)</f>
        <v>0</v>
      </c>
      <c r="AM19" s="88">
        <f t="shared" ref="AM19:AM33" si="36">ROUND(AA19*$AB$2,2)</f>
        <v>21.8</v>
      </c>
      <c r="AN19" s="115">
        <v>0</v>
      </c>
      <c r="AO19" s="88"/>
      <c r="AP19" s="95"/>
      <c r="AQ19" s="95"/>
      <c r="AR19" s="97">
        <f t="shared" ref="AR19:AR33" si="37">SUM(AJ19:AP19)</f>
        <v>21.8</v>
      </c>
    </row>
    <row r="20" s="49" customFormat="1" ht="48" customHeight="1" spans="1:44">
      <c r="A20" s="103" t="s">
        <v>115</v>
      </c>
      <c r="B20" s="81" t="s">
        <v>116</v>
      </c>
      <c r="C20" s="82" t="s">
        <v>120</v>
      </c>
      <c r="D20" s="82" t="s">
        <v>121</v>
      </c>
      <c r="E20" s="83" t="s">
        <v>98</v>
      </c>
      <c r="F20" s="83" t="s">
        <v>55</v>
      </c>
      <c r="G20" s="101"/>
      <c r="H20" s="82" t="s">
        <v>57</v>
      </c>
      <c r="I20" s="82" t="s">
        <v>58</v>
      </c>
      <c r="J20" s="83" t="s">
        <v>73</v>
      </c>
      <c r="K20" s="82" t="s">
        <v>74</v>
      </c>
      <c r="L20" s="82">
        <v>41</v>
      </c>
      <c r="M20" s="84">
        <v>746</v>
      </c>
      <c r="N20" s="86" t="s">
        <v>52</v>
      </c>
      <c r="O20" s="86" t="s">
        <v>52</v>
      </c>
      <c r="P20" s="112"/>
      <c r="Q20" s="87"/>
      <c r="R20" s="106"/>
      <c r="S20" s="87"/>
      <c r="T20" s="86"/>
      <c r="U20" s="86">
        <f t="shared" si="24"/>
        <v>0</v>
      </c>
      <c r="V20" s="86" t="s">
        <v>52</v>
      </c>
      <c r="W20" s="86"/>
      <c r="X20" s="86">
        <f t="shared" ref="X19:X31" si="38">SUM(V20:W20)</f>
        <v>0</v>
      </c>
      <c r="Y20" s="86"/>
      <c r="Z20" s="86">
        <v>0</v>
      </c>
      <c r="AA20" s="114">
        <v>177.92</v>
      </c>
      <c r="AB20" s="89">
        <f t="shared" si="26"/>
        <v>177.92</v>
      </c>
      <c r="AC20" s="90">
        <f t="shared" si="27"/>
        <v>0</v>
      </c>
      <c r="AD20" s="91">
        <f t="shared" si="28"/>
        <v>0</v>
      </c>
      <c r="AE20" s="92">
        <f t="shared" si="29"/>
        <v>0</v>
      </c>
      <c r="AF20" s="93">
        <f t="shared" si="30"/>
        <v>0</v>
      </c>
      <c r="AG20" s="93">
        <f t="shared" si="31"/>
        <v>0</v>
      </c>
      <c r="AH20" s="92">
        <f t="shared" si="32"/>
        <v>0</v>
      </c>
      <c r="AI20" s="94">
        <f t="shared" si="33"/>
        <v>0</v>
      </c>
      <c r="AJ20" s="88">
        <f t="shared" si="34"/>
        <v>0</v>
      </c>
      <c r="AK20" s="95"/>
      <c r="AL20" s="88">
        <f t="shared" si="35"/>
        <v>0</v>
      </c>
      <c r="AM20" s="88">
        <f t="shared" si="36"/>
        <v>22.81</v>
      </c>
      <c r="AN20" s="115">
        <v>0</v>
      </c>
      <c r="AO20" s="88"/>
      <c r="AP20" s="95"/>
      <c r="AQ20" s="95"/>
      <c r="AR20" s="97">
        <f t="shared" si="37"/>
        <v>22.81</v>
      </c>
    </row>
    <row r="21" s="49" customFormat="1" ht="48" customHeight="1" spans="1:44">
      <c r="A21" s="103"/>
      <c r="B21" s="81" t="s">
        <v>122</v>
      </c>
      <c r="C21" s="82" t="s">
        <v>123</v>
      </c>
      <c r="D21" s="82" t="s">
        <v>124</v>
      </c>
      <c r="E21" s="83" t="s">
        <v>80</v>
      </c>
      <c r="F21" s="83" t="s">
        <v>81</v>
      </c>
      <c r="G21" s="186" t="s">
        <v>125</v>
      </c>
      <c r="H21" s="82" t="s">
        <v>57</v>
      </c>
      <c r="I21" s="82" t="s">
        <v>83</v>
      </c>
      <c r="J21" s="83" t="s">
        <v>84</v>
      </c>
      <c r="K21" s="82" t="s">
        <v>74</v>
      </c>
      <c r="L21" s="82">
        <v>18</v>
      </c>
      <c r="M21" s="84">
        <v>338</v>
      </c>
      <c r="N21" s="84">
        <v>4.4</v>
      </c>
      <c r="O21" s="86">
        <f t="shared" ref="O21:O30" si="39">N21*M21</f>
        <v>1487.2</v>
      </c>
      <c r="P21" s="112"/>
      <c r="Q21" s="87"/>
      <c r="R21" s="106"/>
      <c r="S21" s="87"/>
      <c r="T21" s="86"/>
      <c r="U21" s="86">
        <f t="shared" si="24"/>
        <v>1487.2</v>
      </c>
      <c r="V21" s="86">
        <v>350</v>
      </c>
      <c r="W21" s="86"/>
      <c r="X21" s="86">
        <f t="shared" si="38"/>
        <v>350</v>
      </c>
      <c r="Y21" s="86"/>
      <c r="Z21" s="86">
        <v>350</v>
      </c>
      <c r="AA21" s="86">
        <v>161.68</v>
      </c>
      <c r="AB21" s="89">
        <f t="shared" si="26"/>
        <v>511.68</v>
      </c>
      <c r="AC21" s="90">
        <f t="shared" si="27"/>
        <v>148.72</v>
      </c>
      <c r="AD21" s="91">
        <f t="shared" si="28"/>
        <v>8.92</v>
      </c>
      <c r="AE21" s="92">
        <f t="shared" si="29"/>
        <v>157.64</v>
      </c>
      <c r="AF21" s="93">
        <f t="shared" si="30"/>
        <v>350</v>
      </c>
      <c r="AG21" s="93">
        <f t="shared" si="31"/>
        <v>21</v>
      </c>
      <c r="AH21" s="92">
        <f t="shared" si="32"/>
        <v>371</v>
      </c>
      <c r="AI21" s="94">
        <f t="shared" si="33"/>
        <v>528.64</v>
      </c>
      <c r="AJ21" s="88">
        <f t="shared" si="34"/>
        <v>171.59</v>
      </c>
      <c r="AK21" s="95"/>
      <c r="AL21" s="88">
        <f t="shared" si="35"/>
        <v>44.87</v>
      </c>
      <c r="AM21" s="88">
        <f t="shared" si="36"/>
        <v>20.73</v>
      </c>
      <c r="AN21" s="115">
        <v>0</v>
      </c>
      <c r="AO21" s="88"/>
      <c r="AP21" s="95"/>
      <c r="AQ21" s="95"/>
      <c r="AR21" s="97">
        <f t="shared" si="37"/>
        <v>237.19</v>
      </c>
    </row>
    <row r="22" s="49" customFormat="1" ht="48" customHeight="1" spans="1:44">
      <c r="A22" s="103"/>
      <c r="B22" s="81" t="s">
        <v>122</v>
      </c>
      <c r="C22" s="82" t="s">
        <v>126</v>
      </c>
      <c r="D22" s="82" t="s">
        <v>127</v>
      </c>
      <c r="E22" s="83" t="s">
        <v>80</v>
      </c>
      <c r="F22" s="83" t="s">
        <v>81</v>
      </c>
      <c r="G22" s="108"/>
      <c r="H22" s="82" t="s">
        <v>57</v>
      </c>
      <c r="I22" s="82" t="s">
        <v>83</v>
      </c>
      <c r="J22" s="83" t="s">
        <v>84</v>
      </c>
      <c r="K22" s="82" t="s">
        <v>74</v>
      </c>
      <c r="L22" s="82">
        <v>20</v>
      </c>
      <c r="M22" s="84">
        <v>342</v>
      </c>
      <c r="N22" s="84">
        <v>4.4</v>
      </c>
      <c r="O22" s="86">
        <f t="shared" si="39"/>
        <v>1504.8</v>
      </c>
      <c r="P22" s="112"/>
      <c r="Q22" s="116">
        <v>140</v>
      </c>
      <c r="R22" s="117"/>
      <c r="S22" s="87"/>
      <c r="T22" s="86"/>
      <c r="U22" s="86">
        <f t="shared" si="24"/>
        <v>1644.8</v>
      </c>
      <c r="V22" s="86">
        <v>0</v>
      </c>
      <c r="W22" s="86"/>
      <c r="X22" s="86">
        <f t="shared" si="38"/>
        <v>0</v>
      </c>
      <c r="Y22" s="86"/>
      <c r="Z22" s="86">
        <v>0</v>
      </c>
      <c r="AA22" s="86">
        <v>157.39</v>
      </c>
      <c r="AB22" s="89">
        <f t="shared" si="26"/>
        <v>157.39</v>
      </c>
      <c r="AC22" s="90">
        <f t="shared" si="27"/>
        <v>164.48</v>
      </c>
      <c r="AD22" s="91">
        <f t="shared" si="28"/>
        <v>9.87</v>
      </c>
      <c r="AE22" s="92">
        <f t="shared" si="29"/>
        <v>174.35</v>
      </c>
      <c r="AF22" s="93">
        <f t="shared" si="30"/>
        <v>0</v>
      </c>
      <c r="AG22" s="93">
        <f t="shared" si="31"/>
        <v>0</v>
      </c>
      <c r="AH22" s="92">
        <f t="shared" si="32"/>
        <v>0</v>
      </c>
      <c r="AI22" s="94">
        <f t="shared" si="33"/>
        <v>174.35</v>
      </c>
      <c r="AJ22" s="88">
        <f t="shared" si="34"/>
        <v>189.78</v>
      </c>
      <c r="AK22" s="95"/>
      <c r="AL22" s="88">
        <f t="shared" si="35"/>
        <v>0</v>
      </c>
      <c r="AM22" s="88">
        <f t="shared" si="36"/>
        <v>20.18</v>
      </c>
      <c r="AN22" s="115">
        <v>0</v>
      </c>
      <c r="AO22" s="88"/>
      <c r="AP22" s="95"/>
      <c r="AQ22" s="95"/>
      <c r="AR22" s="97">
        <f t="shared" si="37"/>
        <v>209.96</v>
      </c>
    </row>
    <row r="23" s="49" customFormat="1" ht="48" customHeight="1" spans="1:44">
      <c r="A23" s="103"/>
      <c r="B23" s="81" t="s">
        <v>122</v>
      </c>
      <c r="C23" s="82" t="s">
        <v>128</v>
      </c>
      <c r="D23" s="82" t="s">
        <v>129</v>
      </c>
      <c r="E23" s="83" t="s">
        <v>80</v>
      </c>
      <c r="F23" s="83" t="s">
        <v>81</v>
      </c>
      <c r="G23" s="108"/>
      <c r="H23" s="82" t="s">
        <v>57</v>
      </c>
      <c r="I23" s="82" t="s">
        <v>83</v>
      </c>
      <c r="J23" s="83" t="s">
        <v>84</v>
      </c>
      <c r="K23" s="82" t="s">
        <v>74</v>
      </c>
      <c r="L23" s="82">
        <v>131</v>
      </c>
      <c r="M23" s="84">
        <v>276</v>
      </c>
      <c r="N23" s="84">
        <v>4.4</v>
      </c>
      <c r="O23" s="86">
        <f t="shared" si="39"/>
        <v>1214.4</v>
      </c>
      <c r="P23" s="112"/>
      <c r="Q23" s="116"/>
      <c r="R23" s="117"/>
      <c r="S23" s="87"/>
      <c r="T23" s="86"/>
      <c r="U23" s="86">
        <f t="shared" si="24"/>
        <v>1214.4</v>
      </c>
      <c r="V23" s="86">
        <v>0</v>
      </c>
      <c r="W23" s="86"/>
      <c r="X23" s="86">
        <f t="shared" si="38"/>
        <v>0</v>
      </c>
      <c r="Y23" s="86"/>
      <c r="Z23" s="86">
        <v>0</v>
      </c>
      <c r="AA23" s="86">
        <v>82.42</v>
      </c>
      <c r="AB23" s="89">
        <f t="shared" si="26"/>
        <v>82.42</v>
      </c>
      <c r="AC23" s="90">
        <f t="shared" si="27"/>
        <v>121.44</v>
      </c>
      <c r="AD23" s="91">
        <f t="shared" si="28"/>
        <v>7.29</v>
      </c>
      <c r="AE23" s="92">
        <f t="shared" si="29"/>
        <v>128.73</v>
      </c>
      <c r="AF23" s="93">
        <f t="shared" si="30"/>
        <v>0</v>
      </c>
      <c r="AG23" s="93">
        <f t="shared" si="31"/>
        <v>0</v>
      </c>
      <c r="AH23" s="92">
        <f t="shared" si="32"/>
        <v>0</v>
      </c>
      <c r="AI23" s="94">
        <f t="shared" si="33"/>
        <v>128.73</v>
      </c>
      <c r="AJ23" s="88">
        <f t="shared" si="34"/>
        <v>140.12</v>
      </c>
      <c r="AK23" s="95"/>
      <c r="AL23" s="88">
        <f t="shared" si="35"/>
        <v>0</v>
      </c>
      <c r="AM23" s="88">
        <f t="shared" si="36"/>
        <v>10.57</v>
      </c>
      <c r="AN23" s="115">
        <v>0</v>
      </c>
      <c r="AO23" s="88"/>
      <c r="AP23" s="95"/>
      <c r="AQ23" s="95"/>
      <c r="AR23" s="97">
        <f t="shared" si="37"/>
        <v>150.69</v>
      </c>
    </row>
    <row r="24" s="49" customFormat="1" ht="48" customHeight="1" spans="1:44">
      <c r="A24" s="103"/>
      <c r="B24" s="81" t="s">
        <v>122</v>
      </c>
      <c r="C24" s="82" t="s">
        <v>130</v>
      </c>
      <c r="D24" s="82" t="s">
        <v>131</v>
      </c>
      <c r="E24" s="83" t="s">
        <v>80</v>
      </c>
      <c r="F24" s="83" t="s">
        <v>81</v>
      </c>
      <c r="G24" s="101"/>
      <c r="H24" s="82" t="s">
        <v>57</v>
      </c>
      <c r="I24" s="82" t="s">
        <v>83</v>
      </c>
      <c r="J24" s="83" t="s">
        <v>84</v>
      </c>
      <c r="K24" s="82" t="s">
        <v>74</v>
      </c>
      <c r="L24" s="82">
        <v>54</v>
      </c>
      <c r="M24" s="84">
        <v>527</v>
      </c>
      <c r="N24" s="84">
        <v>4.4</v>
      </c>
      <c r="O24" s="86">
        <f t="shared" si="39"/>
        <v>2318.8</v>
      </c>
      <c r="P24" s="112"/>
      <c r="Q24" s="116">
        <v>140</v>
      </c>
      <c r="R24" s="117"/>
      <c r="S24" s="87"/>
      <c r="T24" s="86"/>
      <c r="U24" s="86">
        <f t="shared" si="24"/>
        <v>2458.8</v>
      </c>
      <c r="V24" s="86">
        <v>0</v>
      </c>
      <c r="W24" s="86"/>
      <c r="X24" s="86">
        <f t="shared" si="38"/>
        <v>0</v>
      </c>
      <c r="Y24" s="86"/>
      <c r="Z24" s="86">
        <v>0</v>
      </c>
      <c r="AA24" s="86">
        <v>1199.85</v>
      </c>
      <c r="AB24" s="89">
        <f t="shared" si="26"/>
        <v>1199.85</v>
      </c>
      <c r="AC24" s="90">
        <f t="shared" si="27"/>
        <v>245.88</v>
      </c>
      <c r="AD24" s="91">
        <f t="shared" si="28"/>
        <v>14.75</v>
      </c>
      <c r="AE24" s="92">
        <f t="shared" si="29"/>
        <v>260.63</v>
      </c>
      <c r="AF24" s="93">
        <f t="shared" si="30"/>
        <v>0</v>
      </c>
      <c r="AG24" s="93">
        <f t="shared" si="31"/>
        <v>0</v>
      </c>
      <c r="AH24" s="92">
        <f t="shared" si="32"/>
        <v>0</v>
      </c>
      <c r="AI24" s="94">
        <f t="shared" si="33"/>
        <v>260.63</v>
      </c>
      <c r="AJ24" s="88">
        <f t="shared" si="34"/>
        <v>283.7</v>
      </c>
      <c r="AK24" s="95"/>
      <c r="AL24" s="88">
        <f t="shared" si="35"/>
        <v>0</v>
      </c>
      <c r="AM24" s="88">
        <f t="shared" si="36"/>
        <v>153.82</v>
      </c>
      <c r="AN24" s="115">
        <v>0</v>
      </c>
      <c r="AO24" s="88"/>
      <c r="AP24" s="95"/>
      <c r="AQ24" s="95"/>
      <c r="AR24" s="97">
        <f t="shared" si="37"/>
        <v>437.52</v>
      </c>
    </row>
    <row r="25" s="49" customFormat="1" ht="48" customHeight="1" spans="1:44">
      <c r="A25" s="103"/>
      <c r="B25" s="81" t="s">
        <v>116</v>
      </c>
      <c r="C25" s="82" t="s">
        <v>132</v>
      </c>
      <c r="D25" s="82" t="s">
        <v>133</v>
      </c>
      <c r="E25" s="83" t="s">
        <v>98</v>
      </c>
      <c r="F25" s="83" t="s">
        <v>55</v>
      </c>
      <c r="G25" s="186" t="s">
        <v>134</v>
      </c>
      <c r="H25" s="82" t="s">
        <v>57</v>
      </c>
      <c r="I25" s="82" t="s">
        <v>58</v>
      </c>
      <c r="J25" s="83" t="s">
        <v>73</v>
      </c>
      <c r="K25" s="82" t="s">
        <v>74</v>
      </c>
      <c r="L25" s="82">
        <v>14</v>
      </c>
      <c r="M25" s="84">
        <v>2155</v>
      </c>
      <c r="N25" s="84">
        <v>6.5</v>
      </c>
      <c r="O25" s="86">
        <f t="shared" si="39"/>
        <v>14007.5</v>
      </c>
      <c r="P25" s="112"/>
      <c r="Q25" s="116"/>
      <c r="R25" s="117"/>
      <c r="S25" s="87"/>
      <c r="T25" s="86"/>
      <c r="U25" s="86">
        <f t="shared" si="24"/>
        <v>14007.5</v>
      </c>
      <c r="V25" s="86">
        <v>350</v>
      </c>
      <c r="W25" s="86"/>
      <c r="X25" s="86">
        <f t="shared" si="38"/>
        <v>350</v>
      </c>
      <c r="Y25" s="86"/>
      <c r="Z25" s="86">
        <v>350</v>
      </c>
      <c r="AA25" s="86">
        <v>438.49</v>
      </c>
      <c r="AB25" s="89">
        <f t="shared" si="26"/>
        <v>788.49</v>
      </c>
      <c r="AC25" s="90">
        <f t="shared" si="27"/>
        <v>1400.75</v>
      </c>
      <c r="AD25" s="91">
        <f t="shared" si="28"/>
        <v>84.05</v>
      </c>
      <c r="AE25" s="92">
        <f t="shared" si="29"/>
        <v>1484.8</v>
      </c>
      <c r="AF25" s="93">
        <f t="shared" si="30"/>
        <v>350</v>
      </c>
      <c r="AG25" s="93">
        <f t="shared" si="31"/>
        <v>21</v>
      </c>
      <c r="AH25" s="92">
        <f t="shared" si="32"/>
        <v>371</v>
      </c>
      <c r="AI25" s="94">
        <f t="shared" si="33"/>
        <v>1855.8</v>
      </c>
      <c r="AJ25" s="88">
        <f t="shared" si="34"/>
        <v>1616.19</v>
      </c>
      <c r="AK25" s="95"/>
      <c r="AL25" s="88">
        <f t="shared" si="35"/>
        <v>44.87</v>
      </c>
      <c r="AM25" s="88">
        <f t="shared" si="36"/>
        <v>56.21</v>
      </c>
      <c r="AN25" s="115">
        <v>0</v>
      </c>
      <c r="AO25" s="88"/>
      <c r="AP25" s="95"/>
      <c r="AQ25" s="95"/>
      <c r="AR25" s="97">
        <f t="shared" si="37"/>
        <v>1717.27</v>
      </c>
    </row>
    <row r="26" s="49" customFormat="1" ht="48" customHeight="1" spans="1:44">
      <c r="A26" s="103"/>
      <c r="B26" s="81" t="s">
        <v>116</v>
      </c>
      <c r="C26" s="82" t="s">
        <v>135</v>
      </c>
      <c r="D26" s="82" t="s">
        <v>136</v>
      </c>
      <c r="E26" s="83" t="s">
        <v>98</v>
      </c>
      <c r="F26" s="83" t="s">
        <v>55</v>
      </c>
      <c r="G26" s="101"/>
      <c r="H26" s="82" t="s">
        <v>57</v>
      </c>
      <c r="I26" s="82" t="s">
        <v>58</v>
      </c>
      <c r="J26" s="83" t="s">
        <v>73</v>
      </c>
      <c r="K26" s="82" t="s">
        <v>74</v>
      </c>
      <c r="L26" s="82">
        <v>42</v>
      </c>
      <c r="M26" s="84">
        <v>692</v>
      </c>
      <c r="N26" s="84">
        <v>5.9</v>
      </c>
      <c r="O26" s="86">
        <f t="shared" si="39"/>
        <v>4082.8</v>
      </c>
      <c r="P26" s="112"/>
      <c r="Q26" s="116">
        <v>120</v>
      </c>
      <c r="R26" s="117"/>
      <c r="S26" s="87"/>
      <c r="T26" s="86"/>
      <c r="U26" s="86">
        <f t="shared" si="24"/>
        <v>4202.8</v>
      </c>
      <c r="V26" s="86">
        <v>0</v>
      </c>
      <c r="W26" s="86"/>
      <c r="X26" s="86">
        <f t="shared" si="38"/>
        <v>0</v>
      </c>
      <c r="Y26" s="86"/>
      <c r="Z26" s="86">
        <v>0</v>
      </c>
      <c r="AA26" s="86">
        <v>911.47</v>
      </c>
      <c r="AB26" s="89">
        <f t="shared" si="26"/>
        <v>911.47</v>
      </c>
      <c r="AC26" s="90">
        <f t="shared" si="27"/>
        <v>420.28</v>
      </c>
      <c r="AD26" s="91">
        <f t="shared" si="28"/>
        <v>25.22</v>
      </c>
      <c r="AE26" s="92">
        <f t="shared" si="29"/>
        <v>445.5</v>
      </c>
      <c r="AF26" s="93">
        <f t="shared" si="30"/>
        <v>0</v>
      </c>
      <c r="AG26" s="93">
        <f t="shared" si="31"/>
        <v>0</v>
      </c>
      <c r="AH26" s="92">
        <f t="shared" si="32"/>
        <v>0</v>
      </c>
      <c r="AI26" s="94">
        <f t="shared" si="33"/>
        <v>445.5</v>
      </c>
      <c r="AJ26" s="88">
        <f t="shared" si="34"/>
        <v>484.92</v>
      </c>
      <c r="AK26" s="95"/>
      <c r="AL26" s="88">
        <f t="shared" si="35"/>
        <v>0</v>
      </c>
      <c r="AM26" s="88">
        <f t="shared" si="36"/>
        <v>116.85</v>
      </c>
      <c r="AN26" s="115">
        <v>0</v>
      </c>
      <c r="AO26" s="88"/>
      <c r="AP26" s="95"/>
      <c r="AQ26" s="95"/>
      <c r="AR26" s="97">
        <f t="shared" si="37"/>
        <v>601.77</v>
      </c>
    </row>
    <row r="27" s="49" customFormat="1" ht="48" customHeight="1" spans="1:44">
      <c r="A27" s="103"/>
      <c r="B27" s="81" t="s">
        <v>137</v>
      </c>
      <c r="C27" s="82" t="s">
        <v>52</v>
      </c>
      <c r="D27" s="82" t="s">
        <v>138</v>
      </c>
      <c r="E27" s="83" t="s">
        <v>54</v>
      </c>
      <c r="F27" s="83" t="s">
        <v>55</v>
      </c>
      <c r="G27" s="187" t="s">
        <v>139</v>
      </c>
      <c r="H27" s="82" t="s">
        <v>57</v>
      </c>
      <c r="I27" s="82" t="s">
        <v>58</v>
      </c>
      <c r="J27" s="83" t="s">
        <v>59</v>
      </c>
      <c r="K27" s="82" t="s">
        <v>60</v>
      </c>
      <c r="L27" s="82">
        <v>59</v>
      </c>
      <c r="M27" s="84">
        <v>833</v>
      </c>
      <c r="N27" s="84">
        <v>7.8</v>
      </c>
      <c r="O27" s="86">
        <f t="shared" si="39"/>
        <v>6497.4</v>
      </c>
      <c r="P27" s="112"/>
      <c r="Q27" s="116"/>
      <c r="R27" s="117"/>
      <c r="S27" s="87"/>
      <c r="T27" s="86"/>
      <c r="U27" s="86">
        <f t="shared" si="24"/>
        <v>6497.4</v>
      </c>
      <c r="V27" s="86">
        <v>350</v>
      </c>
      <c r="W27" s="86"/>
      <c r="X27" s="86">
        <f t="shared" si="38"/>
        <v>350</v>
      </c>
      <c r="Y27" s="86"/>
      <c r="Z27" s="86">
        <v>350</v>
      </c>
      <c r="AA27" s="86">
        <v>8039.93</v>
      </c>
      <c r="AB27" s="89">
        <f t="shared" si="26"/>
        <v>8389.93</v>
      </c>
      <c r="AC27" s="90">
        <f t="shared" si="27"/>
        <v>649.74</v>
      </c>
      <c r="AD27" s="91">
        <f t="shared" si="28"/>
        <v>38.98</v>
      </c>
      <c r="AE27" s="92">
        <f t="shared" si="29"/>
        <v>688.72</v>
      </c>
      <c r="AF27" s="93">
        <f t="shared" si="30"/>
        <v>350</v>
      </c>
      <c r="AG27" s="93">
        <f t="shared" si="31"/>
        <v>21</v>
      </c>
      <c r="AH27" s="92">
        <f t="shared" si="32"/>
        <v>371</v>
      </c>
      <c r="AI27" s="94">
        <f t="shared" si="33"/>
        <v>1059.72</v>
      </c>
      <c r="AJ27" s="88">
        <f t="shared" si="34"/>
        <v>749.67</v>
      </c>
      <c r="AK27" s="95"/>
      <c r="AL27" s="88">
        <f t="shared" si="35"/>
        <v>44.87</v>
      </c>
      <c r="AM27" s="88">
        <f t="shared" si="36"/>
        <v>1030.72</v>
      </c>
      <c r="AN27" s="115">
        <v>0</v>
      </c>
      <c r="AO27" s="88"/>
      <c r="AP27" s="95"/>
      <c r="AQ27" s="95"/>
      <c r="AR27" s="97">
        <f t="shared" si="37"/>
        <v>1825.26</v>
      </c>
    </row>
    <row r="28" s="49" customFormat="1" ht="48" customHeight="1" spans="1:44">
      <c r="A28" s="103"/>
      <c r="B28" s="81" t="s">
        <v>140</v>
      </c>
      <c r="C28" s="82" t="s">
        <v>52</v>
      </c>
      <c r="D28" s="82" t="s">
        <v>141</v>
      </c>
      <c r="E28" s="83" t="s">
        <v>98</v>
      </c>
      <c r="F28" s="83" t="s">
        <v>55</v>
      </c>
      <c r="G28" s="187" t="s">
        <v>142</v>
      </c>
      <c r="H28" s="82" t="s">
        <v>57</v>
      </c>
      <c r="I28" s="82" t="s">
        <v>58</v>
      </c>
      <c r="J28" s="83" t="s">
        <v>59</v>
      </c>
      <c r="K28" s="82" t="s">
        <v>60</v>
      </c>
      <c r="L28" s="82">
        <v>83</v>
      </c>
      <c r="M28" s="84">
        <v>1429</v>
      </c>
      <c r="N28" s="84">
        <v>9.8</v>
      </c>
      <c r="O28" s="86">
        <f t="shared" si="39"/>
        <v>14004.2</v>
      </c>
      <c r="P28" s="112"/>
      <c r="Q28" s="116"/>
      <c r="R28" s="117"/>
      <c r="S28" s="87"/>
      <c r="T28" s="86"/>
      <c r="U28" s="86">
        <f t="shared" si="24"/>
        <v>14004.2</v>
      </c>
      <c r="V28" s="86">
        <v>350</v>
      </c>
      <c r="W28" s="86"/>
      <c r="X28" s="86">
        <f t="shared" si="38"/>
        <v>350</v>
      </c>
      <c r="Y28" s="86"/>
      <c r="Z28" s="86">
        <v>350</v>
      </c>
      <c r="AA28" s="86">
        <v>521.71</v>
      </c>
      <c r="AB28" s="89">
        <f t="shared" si="26"/>
        <v>871.71</v>
      </c>
      <c r="AC28" s="90">
        <f t="shared" si="27"/>
        <v>1400.42</v>
      </c>
      <c r="AD28" s="91">
        <f t="shared" si="28"/>
        <v>84.03</v>
      </c>
      <c r="AE28" s="92">
        <f t="shared" si="29"/>
        <v>1484.45</v>
      </c>
      <c r="AF28" s="93">
        <f t="shared" si="30"/>
        <v>350</v>
      </c>
      <c r="AG28" s="93">
        <f t="shared" si="31"/>
        <v>21</v>
      </c>
      <c r="AH28" s="92">
        <f t="shared" si="32"/>
        <v>371</v>
      </c>
      <c r="AI28" s="94">
        <f t="shared" si="33"/>
        <v>1855.45</v>
      </c>
      <c r="AJ28" s="88">
        <f t="shared" si="34"/>
        <v>1615.8</v>
      </c>
      <c r="AK28" s="95"/>
      <c r="AL28" s="88">
        <f t="shared" si="35"/>
        <v>44.87</v>
      </c>
      <c r="AM28" s="88">
        <f t="shared" si="36"/>
        <v>66.88</v>
      </c>
      <c r="AN28" s="115">
        <v>0</v>
      </c>
      <c r="AO28" s="88"/>
      <c r="AP28" s="95"/>
      <c r="AQ28" s="95"/>
      <c r="AR28" s="97">
        <f t="shared" si="37"/>
        <v>1727.55</v>
      </c>
    </row>
    <row r="29" s="49" customFormat="1" ht="48" customHeight="1" spans="1:44">
      <c r="A29" s="103"/>
      <c r="B29" s="81" t="s">
        <v>143</v>
      </c>
      <c r="C29" s="82" t="s">
        <v>52</v>
      </c>
      <c r="D29" s="82" t="s">
        <v>144</v>
      </c>
      <c r="E29" s="83" t="s">
        <v>54</v>
      </c>
      <c r="F29" s="83" t="s">
        <v>55</v>
      </c>
      <c r="G29" s="118" t="s">
        <v>100</v>
      </c>
      <c r="H29" s="82" t="s">
        <v>57</v>
      </c>
      <c r="I29" s="82" t="s">
        <v>58</v>
      </c>
      <c r="J29" s="83" t="s">
        <v>59</v>
      </c>
      <c r="K29" s="82" t="s">
        <v>60</v>
      </c>
      <c r="L29" s="82">
        <v>28</v>
      </c>
      <c r="M29" s="84">
        <v>420</v>
      </c>
      <c r="N29" s="84">
        <v>8.2</v>
      </c>
      <c r="O29" s="86">
        <f t="shared" si="39"/>
        <v>3444</v>
      </c>
      <c r="P29" s="112"/>
      <c r="Q29" s="116"/>
      <c r="R29" s="117">
        <v>40</v>
      </c>
      <c r="S29" s="87"/>
      <c r="T29" s="86"/>
      <c r="U29" s="86">
        <f t="shared" si="24"/>
        <v>3484</v>
      </c>
      <c r="V29" s="86">
        <v>350</v>
      </c>
      <c r="W29" s="86"/>
      <c r="X29" s="86">
        <f t="shared" si="38"/>
        <v>350</v>
      </c>
      <c r="Y29" s="86"/>
      <c r="Z29" s="86">
        <v>350</v>
      </c>
      <c r="AA29" s="86">
        <v>279.95</v>
      </c>
      <c r="AB29" s="89">
        <f t="shared" si="26"/>
        <v>629.95</v>
      </c>
      <c r="AC29" s="90">
        <f t="shared" si="27"/>
        <v>348.4</v>
      </c>
      <c r="AD29" s="91">
        <f t="shared" si="28"/>
        <v>20.9</v>
      </c>
      <c r="AE29" s="92">
        <f t="shared" si="29"/>
        <v>369.3</v>
      </c>
      <c r="AF29" s="93">
        <f t="shared" si="30"/>
        <v>350</v>
      </c>
      <c r="AG29" s="93">
        <f t="shared" si="31"/>
        <v>21</v>
      </c>
      <c r="AH29" s="92">
        <f t="shared" si="32"/>
        <v>371</v>
      </c>
      <c r="AI29" s="94">
        <f t="shared" si="33"/>
        <v>740.3</v>
      </c>
      <c r="AJ29" s="88">
        <f t="shared" si="34"/>
        <v>401.98</v>
      </c>
      <c r="AK29" s="95"/>
      <c r="AL29" s="88">
        <f t="shared" si="35"/>
        <v>44.87</v>
      </c>
      <c r="AM29" s="88">
        <f t="shared" si="36"/>
        <v>35.89</v>
      </c>
      <c r="AN29" s="115">
        <v>0</v>
      </c>
      <c r="AO29" s="88"/>
      <c r="AP29" s="95"/>
      <c r="AQ29" s="95"/>
      <c r="AR29" s="97">
        <f t="shared" si="37"/>
        <v>482.74</v>
      </c>
    </row>
    <row r="30" s="49" customFormat="1" ht="48" customHeight="1" spans="1:44">
      <c r="A30" s="103"/>
      <c r="B30" s="119" t="s">
        <v>145</v>
      </c>
      <c r="C30" s="84" t="s">
        <v>52</v>
      </c>
      <c r="D30" s="82" t="s">
        <v>146</v>
      </c>
      <c r="E30" s="83" t="s">
        <v>54</v>
      </c>
      <c r="F30" s="83" t="s">
        <v>55</v>
      </c>
      <c r="G30" s="120" t="s">
        <v>100</v>
      </c>
      <c r="H30" s="82" t="s">
        <v>57</v>
      </c>
      <c r="I30" s="82" t="s">
        <v>58</v>
      </c>
      <c r="J30" s="83" t="s">
        <v>59</v>
      </c>
      <c r="K30" s="82" t="s">
        <v>60</v>
      </c>
      <c r="L30" s="84">
        <v>102</v>
      </c>
      <c r="M30" s="84">
        <v>1530</v>
      </c>
      <c r="N30" s="84">
        <v>8.2</v>
      </c>
      <c r="O30" s="121">
        <f t="shared" si="39"/>
        <v>12546</v>
      </c>
      <c r="P30" s="87"/>
      <c r="Q30" s="116">
        <v>220</v>
      </c>
      <c r="R30" s="116"/>
      <c r="S30" s="87"/>
      <c r="T30" s="87"/>
      <c r="U30" s="121">
        <f>SUM(O30:T33)</f>
        <v>12766</v>
      </c>
      <c r="V30" s="121">
        <v>350</v>
      </c>
      <c r="W30" s="87"/>
      <c r="X30" s="116">
        <f>SUM(V30:W33)</f>
        <v>350</v>
      </c>
      <c r="Y30" s="87"/>
      <c r="Z30" s="121">
        <v>350</v>
      </c>
      <c r="AA30" s="116">
        <f>187.12+229.93+805.77+555.19</f>
        <v>1778.01</v>
      </c>
      <c r="AB30" s="87">
        <f>SUM(Y30:AA33)</f>
        <v>2128.01</v>
      </c>
      <c r="AC30" s="122">
        <f t="shared" si="27"/>
        <v>1276.6</v>
      </c>
      <c r="AD30" s="123">
        <f t="shared" si="28"/>
        <v>76.6</v>
      </c>
      <c r="AE30" s="124">
        <f t="shared" si="29"/>
        <v>1353.2</v>
      </c>
      <c r="AF30" s="125">
        <f t="shared" si="30"/>
        <v>350</v>
      </c>
      <c r="AG30" s="125">
        <f t="shared" si="31"/>
        <v>21</v>
      </c>
      <c r="AH30" s="124">
        <f t="shared" si="32"/>
        <v>371</v>
      </c>
      <c r="AI30" s="126">
        <f t="shared" si="33"/>
        <v>1724.2</v>
      </c>
      <c r="AJ30" s="96">
        <f t="shared" si="34"/>
        <v>1472.94</v>
      </c>
      <c r="AK30" s="127"/>
      <c r="AL30" s="96">
        <f t="shared" si="35"/>
        <v>44.87</v>
      </c>
      <c r="AM30" s="96">
        <f t="shared" si="36"/>
        <v>227.94</v>
      </c>
      <c r="AN30" s="128">
        <v>0</v>
      </c>
      <c r="AO30" s="96"/>
      <c r="AP30" s="127"/>
      <c r="AQ30" s="127"/>
      <c r="AR30" s="129">
        <f>SUM(AJ30:AQ33)</f>
        <v>1745.75</v>
      </c>
    </row>
    <row r="31" s="49" customFormat="1" ht="48" customHeight="1" spans="1:44">
      <c r="A31" s="103"/>
      <c r="B31" s="130"/>
      <c r="C31" s="131"/>
      <c r="D31" s="82" t="s">
        <v>147</v>
      </c>
      <c r="E31" s="83" t="s">
        <v>54</v>
      </c>
      <c r="F31" s="83" t="s">
        <v>55</v>
      </c>
      <c r="G31" s="120"/>
      <c r="H31" s="82" t="s">
        <v>57</v>
      </c>
      <c r="I31" s="82" t="s">
        <v>58</v>
      </c>
      <c r="J31" s="83" t="s">
        <v>59</v>
      </c>
      <c r="K31" s="82" t="s">
        <v>60</v>
      </c>
      <c r="L31" s="131"/>
      <c r="M31" s="131"/>
      <c r="N31" s="131"/>
      <c r="O31" s="125"/>
      <c r="P31" s="132"/>
      <c r="Q31" s="133"/>
      <c r="R31" s="133"/>
      <c r="S31" s="132"/>
      <c r="T31" s="132"/>
      <c r="U31" s="125"/>
      <c r="V31" s="125"/>
      <c r="W31" s="132"/>
      <c r="X31" s="133"/>
      <c r="Y31" s="132"/>
      <c r="Z31" s="125"/>
      <c r="AA31" s="133"/>
      <c r="AB31" s="132"/>
      <c r="AC31" s="122"/>
      <c r="AD31" s="123"/>
      <c r="AE31" s="124"/>
      <c r="AF31" s="125"/>
      <c r="AG31" s="125"/>
      <c r="AH31" s="124"/>
      <c r="AI31" s="126"/>
      <c r="AJ31" s="100"/>
      <c r="AK31" s="134"/>
      <c r="AL31" s="100"/>
      <c r="AM31" s="100"/>
      <c r="AN31" s="135"/>
      <c r="AO31" s="100"/>
      <c r="AP31" s="134"/>
      <c r="AQ31" s="134"/>
      <c r="AR31" s="136"/>
    </row>
    <row r="32" s="49" customFormat="1" ht="48" customHeight="1" spans="1:44">
      <c r="A32" s="103"/>
      <c r="B32" s="130"/>
      <c r="C32" s="131"/>
      <c r="D32" s="82" t="s">
        <v>148</v>
      </c>
      <c r="E32" s="83" t="s">
        <v>54</v>
      </c>
      <c r="F32" s="83" t="s">
        <v>55</v>
      </c>
      <c r="G32" s="120"/>
      <c r="H32" s="82" t="s">
        <v>57</v>
      </c>
      <c r="I32" s="82" t="s">
        <v>58</v>
      </c>
      <c r="J32" s="83" t="s">
        <v>59</v>
      </c>
      <c r="K32" s="82" t="s">
        <v>60</v>
      </c>
      <c r="L32" s="131"/>
      <c r="M32" s="131"/>
      <c r="N32" s="131"/>
      <c r="O32" s="125"/>
      <c r="P32" s="132"/>
      <c r="Q32" s="133"/>
      <c r="R32" s="133"/>
      <c r="S32" s="132"/>
      <c r="T32" s="132"/>
      <c r="U32" s="125"/>
      <c r="V32" s="125"/>
      <c r="W32" s="132"/>
      <c r="X32" s="133"/>
      <c r="Y32" s="132"/>
      <c r="Z32" s="125"/>
      <c r="AA32" s="133"/>
      <c r="AB32" s="132"/>
      <c r="AC32" s="122"/>
      <c r="AD32" s="123"/>
      <c r="AE32" s="124"/>
      <c r="AF32" s="125"/>
      <c r="AG32" s="125"/>
      <c r="AH32" s="124"/>
      <c r="AI32" s="126"/>
      <c r="AJ32" s="100"/>
      <c r="AK32" s="134"/>
      <c r="AL32" s="100"/>
      <c r="AM32" s="100"/>
      <c r="AN32" s="135"/>
      <c r="AO32" s="100"/>
      <c r="AP32" s="134"/>
      <c r="AQ32" s="134"/>
      <c r="AR32" s="136"/>
    </row>
    <row r="33" s="49" customFormat="1" ht="48" customHeight="1" spans="1:44">
      <c r="A33" s="103"/>
      <c r="B33" s="137"/>
      <c r="C33" s="138"/>
      <c r="D33" s="82" t="s">
        <v>149</v>
      </c>
      <c r="E33" s="83" t="s">
        <v>54</v>
      </c>
      <c r="F33" s="83" t="s">
        <v>55</v>
      </c>
      <c r="G33" s="118"/>
      <c r="H33" s="82" t="s">
        <v>57</v>
      </c>
      <c r="I33" s="82" t="s">
        <v>58</v>
      </c>
      <c r="J33" s="83" t="s">
        <v>59</v>
      </c>
      <c r="K33" s="82" t="s">
        <v>60</v>
      </c>
      <c r="L33" s="138"/>
      <c r="M33" s="131"/>
      <c r="N33" s="131"/>
      <c r="O33" s="93"/>
      <c r="P33" s="132"/>
      <c r="Q33" s="133"/>
      <c r="R33" s="133"/>
      <c r="S33" s="132"/>
      <c r="T33" s="132"/>
      <c r="U33" s="93"/>
      <c r="V33" s="93"/>
      <c r="W33" s="132"/>
      <c r="X33" s="133"/>
      <c r="Y33" s="132"/>
      <c r="Z33" s="93"/>
      <c r="AA33" s="133"/>
      <c r="AB33" s="132"/>
      <c r="AC33" s="90"/>
      <c r="AD33" s="91"/>
      <c r="AE33" s="92"/>
      <c r="AF33" s="93"/>
      <c r="AG33" s="93"/>
      <c r="AH33" s="92"/>
      <c r="AI33" s="94"/>
      <c r="AJ33" s="102"/>
      <c r="AK33" s="139"/>
      <c r="AL33" s="102"/>
      <c r="AM33" s="102"/>
      <c r="AN33" s="140"/>
      <c r="AO33" s="102"/>
      <c r="AP33" s="139"/>
      <c r="AQ33" s="139"/>
      <c r="AR33" s="141"/>
    </row>
    <row r="34" s="49" customFormat="1" ht="48" customHeight="1" spans="1:44">
      <c r="A34" s="103"/>
      <c r="B34" s="81"/>
      <c r="C34" s="82"/>
      <c r="D34" s="82"/>
      <c r="E34" s="83"/>
      <c r="F34" s="83"/>
      <c r="G34" s="101"/>
      <c r="H34" s="82"/>
      <c r="I34" s="82"/>
      <c r="J34" s="83"/>
      <c r="K34" s="82"/>
      <c r="L34" s="82"/>
      <c r="M34" s="84"/>
      <c r="N34" s="84"/>
      <c r="O34" s="86"/>
      <c r="P34" s="112"/>
      <c r="Q34" s="87"/>
      <c r="R34" s="106"/>
      <c r="S34" s="87"/>
      <c r="T34" s="86"/>
      <c r="U34" s="86"/>
      <c r="V34" s="86"/>
      <c r="W34" s="86"/>
      <c r="X34" s="86"/>
      <c r="Y34" s="86"/>
      <c r="Z34" s="86"/>
      <c r="AA34" s="86"/>
      <c r="AB34" s="89"/>
      <c r="AC34" s="90"/>
      <c r="AD34" s="91"/>
      <c r="AE34" s="92"/>
      <c r="AF34" s="93"/>
      <c r="AG34" s="93"/>
      <c r="AH34" s="92"/>
      <c r="AI34" s="94"/>
      <c r="AJ34" s="88"/>
      <c r="AK34" s="95"/>
      <c r="AL34" s="88"/>
      <c r="AM34" s="88"/>
      <c r="AN34" s="88"/>
      <c r="AO34" s="88"/>
      <c r="AP34" s="95"/>
      <c r="AQ34" s="95"/>
      <c r="AR34" s="97"/>
    </row>
    <row r="35" s="49" customFormat="1" ht="55" customHeight="1" spans="1:44">
      <c r="A35" s="142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45"/>
      <c r="O35" s="146" t="s">
        <v>150</v>
      </c>
      <c r="P35" s="146"/>
      <c r="Q35" s="144"/>
      <c r="R35" s="144"/>
      <c r="S35" s="144"/>
      <c r="T35" s="144"/>
      <c r="U35" s="147">
        <f>SUM(U7:U34)</f>
        <v>61767.1</v>
      </c>
      <c r="V35" s="147">
        <f>SUM(V7:V34)</f>
        <v>2100</v>
      </c>
      <c r="W35" s="147"/>
      <c r="X35" s="147">
        <f>SUM(X7:X34)</f>
        <v>2100</v>
      </c>
      <c r="Y35" s="147"/>
      <c r="Z35" s="147">
        <f t="shared" ref="Z35:AG35" si="40">SUM(Z7:Z34)</f>
        <v>2100</v>
      </c>
      <c r="AA35" s="147">
        <f t="shared" si="40"/>
        <v>13918.84</v>
      </c>
      <c r="AB35" s="147">
        <f t="shared" si="40"/>
        <v>16018.84</v>
      </c>
      <c r="AC35" s="147">
        <f t="shared" si="40"/>
        <v>6176.71</v>
      </c>
      <c r="AD35" s="147">
        <f t="shared" si="40"/>
        <v>370.61</v>
      </c>
      <c r="AE35" s="148">
        <f t="shared" si="40"/>
        <v>6547.32</v>
      </c>
      <c r="AF35" s="147">
        <f t="shared" si="40"/>
        <v>2100</v>
      </c>
      <c r="AG35" s="147">
        <f t="shared" si="40"/>
        <v>126</v>
      </c>
      <c r="AH35" s="148">
        <f t="shared" ref="AH35:AR35" si="41">SUM(AH7:AH34)</f>
        <v>2226</v>
      </c>
      <c r="AI35" s="148">
        <f t="shared" si="41"/>
        <v>8773.32</v>
      </c>
      <c r="AJ35" s="149">
        <f t="shared" si="41"/>
        <v>7126.69</v>
      </c>
      <c r="AK35" s="149"/>
      <c r="AL35" s="149">
        <f t="shared" si="41"/>
        <v>269.22</v>
      </c>
      <c r="AM35" s="149">
        <f t="shared" si="41"/>
        <v>1784.4</v>
      </c>
      <c r="AN35" s="149">
        <f t="shared" si="41"/>
        <v>2322.108574</v>
      </c>
      <c r="AO35" s="149">
        <f t="shared" si="41"/>
        <v>0</v>
      </c>
      <c r="AP35" s="149">
        <f t="shared" si="41"/>
        <v>0</v>
      </c>
      <c r="AQ35" s="149">
        <f t="shared" si="41"/>
        <v>0</v>
      </c>
      <c r="AR35" s="150">
        <f t="shared" si="41"/>
        <v>11502.418574</v>
      </c>
    </row>
    <row r="36" s="3" customFormat="1" spans="1:44">
      <c r="AA36" s="8"/>
      <c r="AB36" s="8"/>
      <c r="AC36" s="8"/>
      <c r="AD36" s="8"/>
      <c r="AE36" s="8"/>
      <c r="AJ36" s="8"/>
      <c r="AK36" s="8"/>
      <c r="AL36" s="8"/>
      <c r="AM36" s="8"/>
      <c r="AN36" s="8"/>
      <c r="AO36" s="8"/>
      <c r="AP36" s="8"/>
      <c r="AQ36" s="8"/>
      <c r="AR36" s="8"/>
    </row>
    <row r="37" spans="1:44">
      <c r="U37">
        <f>U35+X35+AB35+AD35+AG35</f>
        <v>80382.55</v>
      </c>
      <c r="AA37" s="151"/>
      <c r="AB37" s="151"/>
      <c r="AC37" s="151"/>
      <c r="AD37" s="151"/>
      <c r="AE37" s="151"/>
    </row>
    <row r="38" spans="1:44">
      <c r="U38">
        <f>U30+X30+AB30+AD30+AG30</f>
        <v>15341.61</v>
      </c>
      <c r="AA38" s="151"/>
      <c r="AB38" s="151"/>
      <c r="AC38" s="151"/>
      <c r="AD38" s="151"/>
      <c r="AE38" s="151"/>
      <c r="AG38" s="3"/>
      <c r="AH38" s="152"/>
      <c r="AI38" s="152"/>
    </row>
    <row r="39" spans="1:44">
      <c r="AA39" s="151"/>
      <c r="AB39" s="151"/>
      <c r="AC39" s="151"/>
      <c r="AD39" s="151"/>
      <c r="AE39" s="151"/>
      <c r="AJ39" s="153"/>
      <c r="AK39" s="153"/>
      <c r="AL39" s="153"/>
      <c r="AM39" s="153"/>
      <c r="AN39" s="153"/>
      <c r="AO39" s="153"/>
      <c r="AP39" s="153"/>
      <c r="AQ39" s="153"/>
    </row>
    <row r="40" customFormat="1" ht="17.6" spans="1:44">
      <c r="A40" s="154" t="s">
        <v>151</v>
      </c>
      <c r="B40" s="154"/>
      <c r="C40" s="154"/>
      <c r="D40" s="154"/>
      <c r="G40" s="3"/>
      <c r="AA40" s="151"/>
      <c r="AB40" s="151"/>
      <c r="AC40" s="151"/>
      <c r="AD40" s="151"/>
      <c r="AE40" s="151"/>
      <c r="AF40" s="5"/>
      <c r="AJ40" s="153"/>
      <c r="AK40" s="153"/>
      <c r="AL40" s="153"/>
      <c r="AM40" s="153"/>
      <c r="AN40" s="153"/>
      <c r="AO40" s="153"/>
      <c r="AP40" s="153"/>
      <c r="AQ40" s="153"/>
      <c r="AR40" s="5"/>
    </row>
    <row r="41" customFormat="1" ht="18" spans="1:44">
      <c r="A41" s="155" t="s">
        <v>152</v>
      </c>
      <c r="B41" s="155" t="s">
        <v>153</v>
      </c>
      <c r="C41" s="155"/>
      <c r="D41" s="155"/>
      <c r="G41" s="3"/>
      <c r="U41" s="156"/>
      <c r="AA41" s="151"/>
      <c r="AB41" s="157"/>
      <c r="AC41" s="151"/>
      <c r="AD41" s="151"/>
      <c r="AE41" s="151"/>
      <c r="AF41" s="5"/>
      <c r="AJ41" s="153"/>
      <c r="AK41" s="153"/>
      <c r="AL41" s="153"/>
      <c r="AM41" s="153"/>
      <c r="AN41" s="153"/>
      <c r="AO41" s="153"/>
      <c r="AP41" s="153"/>
      <c r="AQ41" s="153"/>
      <c r="AR41" s="5"/>
    </row>
    <row r="42" s="50" customFormat="1" ht="19" customHeight="1" spans="1:44">
      <c r="A42" s="155" t="s">
        <v>154</v>
      </c>
      <c r="B42" s="155" t="s">
        <v>155</v>
      </c>
      <c r="C42" s="155"/>
      <c r="D42" s="155"/>
      <c r="F42" s="158"/>
      <c r="G42" s="159"/>
      <c r="H42" s="158"/>
      <c r="I42" s="158"/>
      <c r="J42" s="160"/>
      <c r="K42" s="160"/>
      <c r="L42" s="161"/>
      <c r="M42" s="161"/>
      <c r="N42" s="161"/>
      <c r="O42" s="162"/>
      <c r="P42" s="162"/>
      <c r="Q42" s="162"/>
      <c r="R42" s="162"/>
      <c r="S42" s="162"/>
      <c r="U42"/>
      <c r="AA42" s="163"/>
      <c r="AB42" s="164"/>
      <c r="AC42" s="151"/>
      <c r="AD42" s="163"/>
      <c r="AE42" s="151"/>
      <c r="AJ42" s="165"/>
      <c r="AK42" s="165"/>
      <c r="AL42" s="165"/>
      <c r="AM42" s="165"/>
      <c r="AN42" s="165"/>
      <c r="AO42" s="165"/>
      <c r="AP42" s="165"/>
      <c r="AQ42" s="165"/>
    </row>
    <row r="43" s="50" customFormat="1" ht="19" customHeight="1" spans="1:44">
      <c r="A43" s="155" t="s">
        <v>156</v>
      </c>
      <c r="B43" s="188" t="s">
        <v>157</v>
      </c>
      <c r="C43" s="155"/>
      <c r="D43" s="155"/>
      <c r="F43" s="158"/>
      <c r="G43" s="159"/>
      <c r="H43" s="158"/>
      <c r="I43" s="158"/>
      <c r="J43" s="160"/>
      <c r="K43" s="160"/>
      <c r="L43" s="161"/>
      <c r="M43" s="161"/>
      <c r="N43" s="161"/>
      <c r="O43" s="162"/>
      <c r="P43" s="162"/>
      <c r="Q43" s="166"/>
      <c r="R43" s="162"/>
      <c r="S43" s="162"/>
      <c r="U43"/>
      <c r="AA43" s="163"/>
      <c r="AB43" s="164"/>
      <c r="AC43" s="151"/>
      <c r="AD43" s="163"/>
      <c r="AE43" s="163"/>
      <c r="AJ43" s="165"/>
      <c r="AK43" s="165"/>
      <c r="AL43" s="165"/>
      <c r="AM43" s="165"/>
      <c r="AN43" s="165"/>
      <c r="AO43" s="165"/>
      <c r="AP43" s="165"/>
      <c r="AQ43" s="165"/>
    </row>
    <row r="44" s="50" customFormat="1" ht="19" customHeight="1" spans="1:44">
      <c r="F44" s="158"/>
      <c r="G44" s="159"/>
      <c r="H44" s="158"/>
      <c r="I44" s="158"/>
      <c r="J44" s="160"/>
      <c r="K44" s="160"/>
      <c r="L44" s="161"/>
      <c r="M44" s="161"/>
      <c r="N44" s="161"/>
      <c r="O44" s="162"/>
      <c r="P44" s="162"/>
      <c r="Q44" s="162"/>
      <c r="R44" s="162"/>
      <c r="S44" s="162"/>
      <c r="U44"/>
      <c r="AA44" s="163"/>
      <c r="AB44" s="164"/>
      <c r="AC44" s="151"/>
      <c r="AD44" s="163"/>
      <c r="AE44" s="163"/>
      <c r="AJ44" s="165"/>
      <c r="AK44" s="165"/>
      <c r="AL44" s="165"/>
      <c r="AM44" s="165"/>
      <c r="AN44" s="165"/>
      <c r="AO44" s="165"/>
      <c r="AP44" s="165"/>
      <c r="AQ44" s="165"/>
    </row>
    <row r="45" s="50" customFormat="1" ht="19" customHeight="1" spans="1:44">
      <c r="A45" s="167" t="s">
        <v>158</v>
      </c>
      <c r="B45" s="168"/>
      <c r="C45" s="168"/>
      <c r="D45" s="168"/>
      <c r="E45" s="169" t="s">
        <v>159</v>
      </c>
      <c r="F45"/>
      <c r="G45" s="3"/>
      <c r="H45"/>
      <c r="I45"/>
      <c r="J45" s="160"/>
      <c r="K45" s="160"/>
      <c r="L45" s="161"/>
      <c r="M45" s="161"/>
      <c r="N45" s="161"/>
      <c r="O45" s="162"/>
      <c r="P45" s="162"/>
      <c r="Q45" s="162"/>
      <c r="R45" s="162"/>
      <c r="S45" s="162"/>
      <c r="U45"/>
      <c r="AA45" s="163"/>
      <c r="AB45" s="163"/>
      <c r="AC45" s="163"/>
      <c r="AD45" s="163"/>
      <c r="AE45" s="163"/>
      <c r="AJ45" s="165"/>
      <c r="AK45" s="165"/>
      <c r="AL45" s="165"/>
      <c r="AM45" s="165"/>
      <c r="AN45" s="165"/>
      <c r="AO45" s="165"/>
      <c r="AP45" s="165"/>
      <c r="AQ45" s="165"/>
    </row>
    <row r="46" s="51" customFormat="1" ht="32" customHeight="1" spans="1:44">
      <c r="A46" s="170" t="s">
        <v>160</v>
      </c>
      <c r="B46" s="171" t="s">
        <v>161</v>
      </c>
      <c r="C46" s="172"/>
      <c r="D46" s="173"/>
      <c r="E46" s="174" t="s">
        <v>162</v>
      </c>
      <c r="F46"/>
      <c r="G46" s="3"/>
      <c r="H46"/>
      <c r="I46"/>
      <c r="J46" s="161"/>
      <c r="K46" s="161"/>
      <c r="L46" s="161"/>
      <c r="M46" s="161"/>
      <c r="N46" s="161"/>
      <c r="O46" s="162"/>
      <c r="P46" s="162"/>
      <c r="Q46" s="162"/>
      <c r="R46" s="162"/>
      <c r="S46" s="162"/>
      <c r="U46"/>
      <c r="AA46" s="175"/>
      <c r="AB46" s="175"/>
      <c r="AC46" s="175"/>
      <c r="AD46" s="175"/>
      <c r="AE46" s="175"/>
      <c r="AF46" s="175"/>
      <c r="AJ46" s="176"/>
      <c r="AK46" s="176"/>
      <c r="AL46" s="176"/>
      <c r="AM46" s="176"/>
      <c r="AN46" s="176"/>
      <c r="AO46" s="176"/>
      <c r="AP46" s="176"/>
      <c r="AQ46" s="176"/>
      <c r="AR46" s="175"/>
    </row>
    <row r="47" s="52" customFormat="1" ht="26" customHeight="1" spans="1:44">
      <c r="A47" s="170" t="s">
        <v>163</v>
      </c>
      <c r="B47" s="170" t="s">
        <v>164</v>
      </c>
      <c r="C47" s="170"/>
      <c r="D47" s="177"/>
      <c r="E47" s="178"/>
      <c r="G47" s="3"/>
      <c r="H47" s="179"/>
      <c r="I47" s="179"/>
      <c r="J47" s="179"/>
      <c r="K47" s="179"/>
      <c r="U47"/>
      <c r="Z47" s="175"/>
      <c r="AA47" s="175"/>
      <c r="AB47" s="175"/>
      <c r="AC47" s="175"/>
      <c r="AD47" s="175"/>
      <c r="AE47" s="175"/>
      <c r="AH47" s="175"/>
      <c r="AI47" s="175"/>
      <c r="AJ47" s="180"/>
      <c r="AK47" s="180"/>
      <c r="AL47" s="180"/>
      <c r="AM47" s="180"/>
      <c r="AN47" s="180"/>
      <c r="AO47" s="180"/>
      <c r="AP47" s="180"/>
      <c r="AQ47" s="180"/>
    </row>
    <row r="48" s="52" customFormat="1" ht="34" customHeight="1" spans="1:44">
      <c r="A48" s="170" t="s">
        <v>165</v>
      </c>
      <c r="B48" s="173" t="s">
        <v>166</v>
      </c>
      <c r="C48" s="181"/>
      <c r="D48" s="181"/>
      <c r="E48" s="178"/>
      <c r="G48" s="3"/>
      <c r="H48" s="182"/>
      <c r="I48" s="182"/>
      <c r="J48" s="182"/>
      <c r="K48" s="182"/>
      <c r="U48"/>
      <c r="Z48" s="175"/>
      <c r="AA48" s="175"/>
      <c r="AB48" s="175"/>
      <c r="AC48" s="175"/>
      <c r="AD48" s="175"/>
      <c r="AE48" s="175"/>
      <c r="AH48" s="175"/>
      <c r="AI48" s="175"/>
    </row>
    <row r="49" s="52" customFormat="1" ht="31" customHeight="1" spans="1:35">
      <c r="A49" s="172" t="s">
        <v>167</v>
      </c>
      <c r="B49" s="172" t="s">
        <v>168</v>
      </c>
      <c r="C49" s="172"/>
      <c r="D49" s="173"/>
      <c r="E49" s="178"/>
      <c r="G49" s="3"/>
      <c r="U49"/>
      <c r="Z49" s="175"/>
      <c r="AA49" s="175"/>
      <c r="AB49" s="175"/>
      <c r="AC49" s="175"/>
      <c r="AD49" s="175"/>
      <c r="AE49" s="175"/>
      <c r="AH49" s="175"/>
      <c r="AI49" s="175"/>
    </row>
    <row r="50" s="52" customFormat="1" ht="32" customHeight="1" spans="1:35">
      <c r="A50" s="170" t="s">
        <v>169</v>
      </c>
      <c r="B50" s="172" t="s">
        <v>170</v>
      </c>
      <c r="C50" s="170"/>
      <c r="D50" s="177"/>
      <c r="E50" s="183"/>
      <c r="G50" s="3"/>
      <c r="U50"/>
      <c r="Z50" s="175"/>
      <c r="AA50" s="175"/>
      <c r="AB50" s="175"/>
      <c r="AC50" s="175"/>
      <c r="AD50" s="175"/>
      <c r="AE50" s="175"/>
      <c r="AH50" s="175"/>
      <c r="AI50" s="175"/>
    </row>
  </sheetData>
  <mergeCells count="63">
    <mergeCell ref="T2:U2"/>
    <mergeCell ref="W2:X2"/>
    <mergeCell ref="Z2:AA2"/>
    <mergeCell ref="AC2:AI2"/>
    <mergeCell ref="AJ2:AR2"/>
    <mergeCell ref="A40:D40"/>
    <mergeCell ref="B41:D41"/>
    <mergeCell ref="B42:D42"/>
    <mergeCell ref="B43:D43"/>
    <mergeCell ref="A45:D45"/>
    <mergeCell ref="B46:D46"/>
    <mergeCell ref="B47:D47"/>
    <mergeCell ref="H47:K47"/>
    <mergeCell ref="B48:D48"/>
    <mergeCell ref="B49:D49"/>
    <mergeCell ref="B50:D50"/>
    <mergeCell ref="B30:B33"/>
    <mergeCell ref="C30:C33"/>
    <mergeCell ref="E46:E50"/>
    <mergeCell ref="G5:G6"/>
    <mergeCell ref="G7:G8"/>
    <mergeCell ref="G9:G11"/>
    <mergeCell ref="G12:G13"/>
    <mergeCell ref="G14:G15"/>
    <mergeCell ref="G19:G20"/>
    <mergeCell ref="G21:G24"/>
    <mergeCell ref="G25:G26"/>
    <mergeCell ref="G30:G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4:AN6"/>
    <mergeCell ref="AN7:AN8"/>
    <mergeCell ref="AN30:AN33"/>
    <mergeCell ref="AO30:AO33"/>
    <mergeCell ref="AP30:AP33"/>
    <mergeCell ref="AQ30:AQ33"/>
    <mergeCell ref="AR30:AR33"/>
  </mergeCells>
  <pageMargins left="0.75" right="0.75" top="1" bottom="1" header="0.5" footer="0.5"/>
  <pageSetup paperSize="9" orientation="portrait"/>
  <headerFooter/>
  <ignoredErrors>
    <ignoredError sqref="A1 AO1:AS1 C1:T1 AC1:AM1 A2:U2 W2:X2 Z2:AA2 AC2:AS2 A3:AS3 Y37:AS37 A35:T35 W35 Y35 AK35 AS35 A36:AS36 A37:S49 W44:Z48 AF47:AS48 W49:AS49 AH38:AI44 AF45:AI46 AR38:AS46 Y38:Z43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9" tint="0.399975585192419"/>
  </sheetPr>
  <dimension ref="A1:XFB16"/>
  <sheetViews>
    <sheetView view="pageBreakPreview" zoomScaleNormal="85" workbookViewId="0">
      <selection activeCell="C5" sqref="C5:C9"/>
    </sheetView>
  </sheetViews>
  <sheetFormatPr defaultColWidth="9" defaultRowHeight="16.8"/>
  <cols>
    <col min="1" max="1" width="20.375" customWidth="1"/>
    <col min="2" max="2" width="12" hidden="1" customWidth="1"/>
    <col min="3" max="3" width="13.7211538461538" customWidth="1"/>
    <col min="4" max="5" width="7.08653846153846" customWidth="1"/>
    <col min="6" max="6" width="20.375" customWidth="1"/>
    <col min="7" max="7" width="10.0865384615385" customWidth="1"/>
    <col min="9" max="9" width="11.0865384615385" customWidth="1"/>
    <col min="13" max="18" width="9" hidden="1" customWidth="1"/>
    <col min="19" max="19" width="9.375" hidden="1" customWidth="1"/>
    <col min="20" max="20" width="9" hidden="1" customWidth="1"/>
    <col min="21" max="21" width="12.7211538461538" hidden="1" customWidth="1"/>
    <col min="22" max="22" width="11.4519230769231" hidden="1" customWidth="1"/>
    <col min="23" max="23" width="10.9134615384615" hidden="1" customWidth="1"/>
    <col min="24" max="24" width="9" hidden="1" customWidth="1"/>
    <col min="25" max="25" width="10.4519230769231" style="5" hidden="1" customWidth="1"/>
    <col min="26" max="27" width="9" hidden="1" customWidth="1"/>
    <col min="28" max="28" width="15" style="5" hidden="1" customWidth="1"/>
    <col min="29" max="29" width="13.375" style="5" customWidth="1"/>
    <col min="30" max="30" width="13.2788461538462" style="5" customWidth="1"/>
    <col min="31" max="31" width="10.4519230769231" customWidth="1"/>
    <col min="32" max="32" width="11.0865384615385" customWidth="1"/>
    <col min="33" max="33" width="11.4519230769231"/>
    <col min="34" max="34" width="16.9134615384615" customWidth="1"/>
    <col min="35" max="35" width="12.9134615384615" customWidth="1"/>
  </cols>
  <sheetData>
    <row r="1" ht="35" customHeight="1" spans="1:1024 1025:16382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ht="12" customHeight="1" spans="1:1024 1025:1638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1024 1025:16382">
      <c r="Y3" s="5" t="s">
        <v>172</v>
      </c>
      <c r="AC3" s="9" t="s">
        <v>5</v>
      </c>
      <c r="AD3" s="9"/>
      <c r="AE3" s="34"/>
      <c r="AF3" s="34"/>
      <c r="AG3" s="10"/>
      <c r="AH3" s="10"/>
    </row>
    <row r="4" s="2" customFormat="1" ht="36" customHeight="1" spans="1:1024 1025:16382">
      <c r="A4" s="11" t="s">
        <v>8</v>
      </c>
      <c r="B4" s="11" t="s">
        <v>9</v>
      </c>
      <c r="C4" s="11" t="s">
        <v>173</v>
      </c>
      <c r="D4" s="11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2" t="s">
        <v>16</v>
      </c>
      <c r="J4" s="12" t="s">
        <v>18</v>
      </c>
      <c r="K4" s="11" t="s">
        <v>19</v>
      </c>
      <c r="L4" s="11" t="s">
        <v>20</v>
      </c>
      <c r="M4" s="11" t="s">
        <v>21</v>
      </c>
      <c r="N4" s="11" t="s">
        <v>22</v>
      </c>
      <c r="O4" s="35" t="s">
        <v>23</v>
      </c>
      <c r="P4" s="35" t="s">
        <v>24</v>
      </c>
      <c r="Q4" s="35" t="s">
        <v>25</v>
      </c>
      <c r="R4" s="35" t="s">
        <v>26</v>
      </c>
      <c r="S4" s="36" t="s">
        <v>27</v>
      </c>
      <c r="T4" s="12" t="s">
        <v>28</v>
      </c>
      <c r="U4" s="35" t="s">
        <v>174</v>
      </c>
      <c r="V4" s="36" t="s">
        <v>30</v>
      </c>
      <c r="W4" s="35" t="s">
        <v>31</v>
      </c>
      <c r="X4" s="35" t="s">
        <v>32</v>
      </c>
      <c r="Y4" s="37" t="s">
        <v>33</v>
      </c>
      <c r="Z4" s="35" t="s">
        <v>175</v>
      </c>
      <c r="AA4" s="35" t="s">
        <v>176</v>
      </c>
      <c r="AB4" s="38" t="s">
        <v>34</v>
      </c>
      <c r="AC4" s="12" t="s">
        <v>177</v>
      </c>
      <c r="AD4" s="12" t="s">
        <v>178</v>
      </c>
      <c r="AE4" s="12" t="s">
        <v>28</v>
      </c>
      <c r="AF4" s="12" t="s">
        <v>179</v>
      </c>
      <c r="AG4" s="39" t="s">
        <v>150</v>
      </c>
      <c r="AH4" s="39" t="s">
        <v>159</v>
      </c>
      <c r="AI4" s="35" t="s">
        <v>180</v>
      </c>
    </row>
    <row r="5" s="3" customFormat="1" ht="30" customHeight="1" spans="1:1024 1025:16382">
      <c r="A5" s="14" t="s">
        <v>181</v>
      </c>
      <c r="B5" s="14"/>
      <c r="C5" s="14"/>
      <c r="D5" s="14" t="s">
        <v>182</v>
      </c>
      <c r="E5" s="14" t="s">
        <v>183</v>
      </c>
      <c r="F5" s="189" t="s">
        <v>184</v>
      </c>
      <c r="G5" s="14" t="s">
        <v>57</v>
      </c>
      <c r="H5" s="14" t="s">
        <v>185</v>
      </c>
      <c r="I5" s="14" t="s">
        <v>186</v>
      </c>
      <c r="J5" s="14">
        <v>12</v>
      </c>
      <c r="K5" s="14">
        <v>151</v>
      </c>
      <c r="L5" s="14">
        <v>43</v>
      </c>
      <c r="M5" s="14">
        <f t="shared" ref="M5:M8" si="0">K5*L5</f>
        <v>6493</v>
      </c>
      <c r="N5" s="14">
        <v>221.19</v>
      </c>
      <c r="O5" s="14"/>
      <c r="P5" s="14"/>
      <c r="Q5" s="14"/>
      <c r="R5" s="14"/>
      <c r="S5" s="14">
        <f t="shared" ref="S5:S9" si="1">SUM(M5:R5)</f>
        <v>6714.19</v>
      </c>
      <c r="T5" s="14">
        <v>350</v>
      </c>
      <c r="U5" s="14"/>
      <c r="V5" s="14">
        <f t="shared" ref="V5:V8" si="2">SUM(T5:U5)</f>
        <v>350</v>
      </c>
      <c r="W5" s="14"/>
      <c r="X5" s="14"/>
      <c r="Y5" s="15">
        <f>334.4/7.15</f>
        <v>46.7692307692308</v>
      </c>
      <c r="Z5" s="14"/>
      <c r="AA5" s="14"/>
      <c r="AB5" s="15">
        <f>SUM(W5:AA5)</f>
        <v>46.7692307692308</v>
      </c>
      <c r="AC5" s="15">
        <f>S5*0.1</f>
        <v>671.419</v>
      </c>
      <c r="AD5" s="15">
        <f>AC5*0.06</f>
        <v>40.28514</v>
      </c>
      <c r="AE5" s="14">
        <f t="shared" ref="AE5:AE8" si="3">V5</f>
        <v>350</v>
      </c>
      <c r="AF5" s="14">
        <f t="shared" ref="AF5:AF8" si="4">AE5*0.06</f>
        <v>21</v>
      </c>
      <c r="AG5" s="14">
        <f>ROUNDUP(SUM(AC5:AF5),2)</f>
        <v>1082.71</v>
      </c>
      <c r="AH5" s="14"/>
      <c r="AI5" s="14" t="s">
        <v>187</v>
      </c>
    </row>
    <row r="6" s="3" customFormat="1" ht="30" customHeight="1" spans="1:1024 1025:16382">
      <c r="A6" s="14" t="s">
        <v>188</v>
      </c>
      <c r="B6" s="14"/>
      <c r="C6" s="14"/>
      <c r="D6" s="14" t="s">
        <v>182</v>
      </c>
      <c r="E6" s="14" t="s">
        <v>183</v>
      </c>
      <c r="F6" s="189" t="s">
        <v>189</v>
      </c>
      <c r="G6" s="14" t="s">
        <v>57</v>
      </c>
      <c r="H6" s="14" t="s">
        <v>185</v>
      </c>
      <c r="I6" s="14" t="s">
        <v>186</v>
      </c>
      <c r="J6" s="14">
        <v>18</v>
      </c>
      <c r="K6" s="14">
        <v>237</v>
      </c>
      <c r="L6" s="14">
        <v>38</v>
      </c>
      <c r="M6" s="14">
        <f t="shared" si="0"/>
        <v>9006</v>
      </c>
      <c r="N6" s="14">
        <v>200.48</v>
      </c>
      <c r="O6" s="14"/>
      <c r="P6" s="14"/>
      <c r="Q6" s="14"/>
      <c r="R6" s="14"/>
      <c r="S6" s="14">
        <f t="shared" si="1"/>
        <v>9206.48</v>
      </c>
      <c r="T6" s="14">
        <v>350</v>
      </c>
      <c r="U6" s="14"/>
      <c r="V6" s="14">
        <f t="shared" si="2"/>
        <v>350</v>
      </c>
      <c r="W6" s="14"/>
      <c r="X6" s="14"/>
      <c r="Y6" s="15">
        <f>492.92/7.15</f>
        <v>68.9398601398601</v>
      </c>
      <c r="Z6" s="14"/>
      <c r="AA6" s="14"/>
      <c r="AB6" s="15">
        <f t="shared" ref="AB6:AB9" si="5">SUM(W6:AA6)</f>
        <v>68.9398601398601</v>
      </c>
      <c r="AC6" s="15">
        <f t="shared" ref="AC6:AC8" si="6">S6*0.1</f>
        <v>920.648</v>
      </c>
      <c r="AD6" s="15">
        <f t="shared" ref="AD6:AD8" si="7">AC6*0.06</f>
        <v>55.23888</v>
      </c>
      <c r="AE6" s="14">
        <f t="shared" si="3"/>
        <v>350</v>
      </c>
      <c r="AF6" s="14">
        <f t="shared" si="4"/>
        <v>21</v>
      </c>
      <c r="AG6" s="14">
        <f>ROUNDUP(SUM(AC6:AF6),2)</f>
        <v>1346.89</v>
      </c>
      <c r="AH6" s="14"/>
      <c r="AI6" s="14"/>
    </row>
    <row r="7" s="3" customFormat="1" ht="30" customHeight="1" spans="1:1024 1025:16382">
      <c r="A7" s="14" t="s">
        <v>190</v>
      </c>
      <c r="B7" s="14"/>
      <c r="C7" s="14"/>
      <c r="D7" s="14" t="s">
        <v>182</v>
      </c>
      <c r="E7" s="14" t="s">
        <v>183</v>
      </c>
      <c r="F7" s="189" t="s">
        <v>191</v>
      </c>
      <c r="G7" s="14" t="s">
        <v>57</v>
      </c>
      <c r="H7" s="14" t="s">
        <v>185</v>
      </c>
      <c r="I7" s="14" t="s">
        <v>186</v>
      </c>
      <c r="J7" s="14">
        <v>13</v>
      </c>
      <c r="K7" s="14">
        <v>198</v>
      </c>
      <c r="L7" s="14">
        <v>42</v>
      </c>
      <c r="M7" s="14">
        <f t="shared" si="0"/>
        <v>8316</v>
      </c>
      <c r="N7" s="14">
        <v>214.25</v>
      </c>
      <c r="O7" s="14"/>
      <c r="P7" s="14"/>
      <c r="Q7" s="14"/>
      <c r="R7" s="14"/>
      <c r="S7" s="14">
        <f t="shared" si="1"/>
        <v>8530.25</v>
      </c>
      <c r="T7" s="14">
        <v>350</v>
      </c>
      <c r="U7" s="14"/>
      <c r="V7" s="14">
        <f t="shared" si="2"/>
        <v>350</v>
      </c>
      <c r="W7" s="14"/>
      <c r="X7" s="14"/>
      <c r="Y7" s="15">
        <f>463.8/7.15</f>
        <v>64.8671328671329</v>
      </c>
      <c r="Z7" s="14"/>
      <c r="AA7" s="14"/>
      <c r="AB7" s="15">
        <f t="shared" si="5"/>
        <v>64.8671328671329</v>
      </c>
      <c r="AC7" s="15">
        <f t="shared" si="6"/>
        <v>853.025</v>
      </c>
      <c r="AD7" s="15">
        <f t="shared" si="7"/>
        <v>51.1815</v>
      </c>
      <c r="AE7" s="14">
        <f t="shared" si="3"/>
        <v>350</v>
      </c>
      <c r="AF7" s="14">
        <f t="shared" si="4"/>
        <v>21</v>
      </c>
      <c r="AG7" s="14">
        <f>ROUNDUP(SUM(AC7:AF7),2)</f>
        <v>1275.21</v>
      </c>
      <c r="AH7" s="14"/>
      <c r="AI7" s="14"/>
    </row>
    <row r="8" s="3" customFormat="1" ht="30" customHeight="1" spans="1:1024 1025:16382">
      <c r="A8" s="14" t="s">
        <v>192</v>
      </c>
      <c r="B8" s="14"/>
      <c r="C8" s="14"/>
      <c r="D8" s="14" t="s">
        <v>182</v>
      </c>
      <c r="E8" s="14" t="s">
        <v>183</v>
      </c>
      <c r="F8" s="189" t="s">
        <v>193</v>
      </c>
      <c r="G8" s="14" t="s">
        <v>57</v>
      </c>
      <c r="H8" s="14" t="s">
        <v>185</v>
      </c>
      <c r="I8" s="14" t="s">
        <v>186</v>
      </c>
      <c r="J8" s="14">
        <v>6</v>
      </c>
      <c r="K8" s="14">
        <v>83</v>
      </c>
      <c r="L8" s="14">
        <v>35</v>
      </c>
      <c r="M8" s="14">
        <f t="shared" si="0"/>
        <v>2905</v>
      </c>
      <c r="N8" s="14">
        <v>199.28</v>
      </c>
      <c r="O8" s="14"/>
      <c r="P8" s="14"/>
      <c r="Q8" s="14"/>
      <c r="R8" s="14"/>
      <c r="S8" s="14">
        <f t="shared" si="1"/>
        <v>3104.28</v>
      </c>
      <c r="T8" s="14">
        <v>350</v>
      </c>
      <c r="U8" s="14"/>
      <c r="V8" s="14">
        <f t="shared" si="2"/>
        <v>350</v>
      </c>
      <c r="W8" s="14"/>
      <c r="X8" s="14"/>
      <c r="Y8" s="15">
        <f>442.68/7.15</f>
        <v>61.9132867132867</v>
      </c>
      <c r="Z8" s="14"/>
      <c r="AA8" s="14"/>
      <c r="AB8" s="15">
        <f t="shared" si="5"/>
        <v>61.9132867132867</v>
      </c>
      <c r="AC8" s="15">
        <f t="shared" si="6"/>
        <v>310.428</v>
      </c>
      <c r="AD8" s="15">
        <f t="shared" si="7"/>
        <v>18.62568</v>
      </c>
      <c r="AE8" s="14">
        <f t="shared" si="3"/>
        <v>350</v>
      </c>
      <c r="AF8" s="14">
        <f t="shared" si="4"/>
        <v>21</v>
      </c>
      <c r="AG8" s="14">
        <f>ROUNDUP(SUM(AC8:AF8),2)</f>
        <v>700.06</v>
      </c>
      <c r="AH8" s="14"/>
      <c r="AI8" s="14"/>
    </row>
    <row r="9" s="3" customFormat="1" ht="30" customHeight="1" spans="1:1024 1025:16382">
      <c r="A9" s="14" t="s">
        <v>194</v>
      </c>
      <c r="B9" s="14"/>
      <c r="C9" s="14"/>
      <c r="D9" s="14" t="s">
        <v>182</v>
      </c>
      <c r="E9" s="14" t="s">
        <v>183</v>
      </c>
      <c r="F9" s="14"/>
      <c r="G9" s="14" t="s">
        <v>57</v>
      </c>
      <c r="H9" s="14" t="s">
        <v>185</v>
      </c>
      <c r="I9" s="14" t="s">
        <v>195</v>
      </c>
      <c r="J9" s="14">
        <v>2</v>
      </c>
      <c r="K9" s="14"/>
      <c r="L9" s="14"/>
      <c r="M9" s="14"/>
      <c r="N9" s="14">
        <f>135.16+167.88</f>
        <v>303.04</v>
      </c>
      <c r="O9" s="14"/>
      <c r="P9" s="14"/>
      <c r="Q9" s="14"/>
      <c r="R9" s="14"/>
      <c r="S9" s="14">
        <f t="shared" si="1"/>
        <v>303.04</v>
      </c>
      <c r="T9" s="14"/>
      <c r="U9" s="14"/>
      <c r="V9" s="14"/>
      <c r="W9" s="14"/>
      <c r="X9" s="14"/>
      <c r="Y9" s="15"/>
      <c r="Z9" s="14"/>
      <c r="AA9" s="14"/>
      <c r="AB9" s="15">
        <f t="shared" si="5"/>
        <v>0</v>
      </c>
      <c r="AC9" s="15">
        <v>303.04</v>
      </c>
      <c r="AD9" s="15"/>
      <c r="AE9" s="14"/>
      <c r="AF9" s="14"/>
      <c r="AG9" s="14">
        <f>ROUNDUP(SUM(AC9:AF9),2)</f>
        <v>303.04</v>
      </c>
      <c r="AH9" s="14" t="s">
        <v>196</v>
      </c>
      <c r="AI9" s="14" t="s">
        <v>197</v>
      </c>
    </row>
    <row r="10" s="33" customFormat="1" ht="22" customHeight="1" spans="1:1024 1025:1638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6" t="s">
        <v>150</v>
      </c>
      <c r="O10" s="1"/>
      <c r="P10" s="1"/>
      <c r="Q10" s="1"/>
      <c r="R10" s="1"/>
      <c r="S10" s="16">
        <f>SUM(S5:S8)</f>
        <v>27555.2</v>
      </c>
      <c r="T10" s="1"/>
      <c r="U10" s="1"/>
      <c r="V10" s="16">
        <f>SUM(V5:V8)</f>
        <v>1400</v>
      </c>
      <c r="W10" s="1"/>
      <c r="X10" s="1"/>
      <c r="Y10" s="40">
        <f t="shared" ref="Y10:AF10" si="8">SUM(Y5:Y8)</f>
        <v>242.489510489511</v>
      </c>
      <c r="Z10" s="1"/>
      <c r="AA10" s="1"/>
      <c r="AB10" s="40">
        <f t="shared" si="8"/>
        <v>242.489510489511</v>
      </c>
      <c r="AC10" s="41">
        <f t="shared" si="8"/>
        <v>2755.52</v>
      </c>
      <c r="AD10" s="41">
        <f t="shared" si="8"/>
        <v>165.3312</v>
      </c>
      <c r="AE10" s="42">
        <f t="shared" si="8"/>
        <v>1400</v>
      </c>
      <c r="AF10" s="42">
        <f t="shared" si="8"/>
        <v>84</v>
      </c>
      <c r="AG10" s="16">
        <f>SUM(AG5:AG9)</f>
        <v>4707.91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</row>
    <row r="11" s="3" customFormat="1" spans="1:1024 1025:16382">
      <c r="Y11" s="8"/>
      <c r="AB11" s="8"/>
      <c r="AC11" s="8"/>
      <c r="AD11" s="8"/>
    </row>
    <row r="15" ht="21" customHeight="1" spans="1:1024 1025:16382">
      <c r="A15" s="19" t="s">
        <v>198</v>
      </c>
      <c r="B15" s="43" t="s">
        <v>199</v>
      </c>
      <c r="C15" s="43" t="s">
        <v>200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4"/>
      <c r="Z15" s="43"/>
      <c r="AA15" s="43"/>
      <c r="AB15" s="44"/>
      <c r="AC15" s="44"/>
      <c r="AD15" s="44"/>
      <c r="AE15" s="43"/>
      <c r="AF15" s="43"/>
      <c r="AG15" s="45"/>
      <c r="AH15" s="45"/>
      <c r="AI15" s="45"/>
      <c r="AJ15" s="45"/>
      <c r="AK15" s="45"/>
      <c r="AL15" s="43"/>
    </row>
    <row r="16" ht="90" customHeight="1" spans="1:1024 1025:16382">
      <c r="A16" s="19" t="s">
        <v>201</v>
      </c>
      <c r="B16" s="19"/>
      <c r="C16" s="19"/>
      <c r="D16" s="19"/>
      <c r="E16" s="19"/>
      <c r="F16" s="19"/>
      <c r="G16" s="19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6"/>
      <c r="AA16" s="46"/>
      <c r="AB16" s="47"/>
      <c r="AC16" s="47"/>
      <c r="AD16" s="47"/>
      <c r="AE16" s="46"/>
      <c r="AF16" s="46"/>
      <c r="AG16" s="48"/>
      <c r="AH16" s="48"/>
      <c r="AI16" s="48"/>
      <c r="AJ16" s="48"/>
      <c r="AK16" s="48"/>
      <c r="AL16" s="46"/>
    </row>
  </sheetData>
  <mergeCells count="4">
    <mergeCell ref="A1:AH1"/>
    <mergeCell ref="AC3:AF3"/>
    <mergeCell ref="A16:G16"/>
    <mergeCell ref="AI5:AI8"/>
  </mergeCells>
  <pageMargins left="0.75" right="0.75" top="1" bottom="1" header="0.511805555555556" footer="0.511805555555556"/>
  <pageSetup paperSize="9" scale="63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9" tint="0.399975585192419"/>
    <pageSetUpPr fitToPage="1"/>
  </sheetPr>
  <dimension ref="A1:AN20"/>
  <sheetViews>
    <sheetView view="pageBreakPreview" zoomScaleNormal="100" workbookViewId="0">
      <selection activeCell="C5" sqref="C5:C9"/>
    </sheetView>
  </sheetViews>
  <sheetFormatPr defaultColWidth="9" defaultRowHeight="16.8"/>
  <cols>
    <col min="1" max="1" width="20.375" customWidth="1"/>
    <col min="2" max="2" width="12" hidden="1" customWidth="1"/>
    <col min="3" max="3" width="13.7211538461538" customWidth="1"/>
    <col min="4" max="4" width="8.27884615384615" customWidth="1"/>
    <col min="5" max="5" width="7.91346153846154" customWidth="1"/>
    <col min="6" max="6" width="21" customWidth="1"/>
    <col min="7" max="7" width="11.4519230769231" customWidth="1"/>
    <col min="8" max="8" width="9.27884615384615" customWidth="1"/>
    <col min="9" max="9" width="12.7211538461538" customWidth="1"/>
    <col min="10" max="10" width="8.08653846153846" customWidth="1"/>
    <col min="13" max="18" width="9" hidden="1" customWidth="1"/>
    <col min="19" max="19" width="9.375" hidden="1" customWidth="1"/>
    <col min="20" max="20" width="9" hidden="1" customWidth="1"/>
    <col min="21" max="21" width="11.9134615384615" hidden="1" customWidth="1"/>
    <col min="22" max="22" width="11.0865384615385" hidden="1" customWidth="1"/>
    <col min="23" max="23" width="10.9134615384615" hidden="1" customWidth="1"/>
    <col min="24" max="24" width="7" hidden="1" customWidth="1"/>
    <col min="25" max="25" width="18.4519230769231" style="5" hidden="1" customWidth="1"/>
    <col min="26" max="26" width="9" hidden="1" customWidth="1"/>
    <col min="27" max="27" width="8.91346153846154" hidden="1" customWidth="1"/>
    <col min="28" max="28" width="15" style="5" hidden="1" customWidth="1"/>
    <col min="29" max="29" width="27.7211538461538" style="5" hidden="1" customWidth="1"/>
    <col min="30" max="30" width="21.2788461538462" style="5" hidden="1" customWidth="1"/>
    <col min="31" max="31" width="10.9134615384615" hidden="1" customWidth="1"/>
    <col min="32" max="32" width="19.0865384615385" hidden="1" customWidth="1"/>
    <col min="33" max="33" width="17.2788461538462" style="5" customWidth="1"/>
    <col min="34" max="34" width="13.2788461538462" style="5" customWidth="1"/>
    <col min="35" max="35" width="11.4519230769231"/>
  </cols>
  <sheetData>
    <row r="1" s="1" customFormat="1" ht="32" customHeight="1" spans="1:40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/>
    </row>
    <row r="2" spans="1:40">
      <c r="Y2"/>
      <c r="AC2" s="8" t="s">
        <v>5</v>
      </c>
      <c r="AD2" s="8"/>
      <c r="AE2" s="3"/>
      <c r="AF2" s="3"/>
      <c r="AG2" s="9" t="s">
        <v>6</v>
      </c>
      <c r="AH2" s="9"/>
      <c r="AI2" s="10"/>
      <c r="AJ2" s="10"/>
    </row>
    <row r="3" ht="19" customHeight="1" spans="1:40">
      <c r="Y3"/>
      <c r="AC3" s="8"/>
      <c r="AD3" s="8"/>
      <c r="AE3" s="3"/>
      <c r="AF3" s="3"/>
      <c r="AG3" s="5" t="s">
        <v>172</v>
      </c>
      <c r="AH3" s="9"/>
      <c r="AI3" s="10"/>
      <c r="AJ3" s="10"/>
    </row>
    <row r="4" s="2" customFormat="1" ht="29" customHeight="1" spans="1:40">
      <c r="A4" s="11" t="s">
        <v>8</v>
      </c>
      <c r="B4" s="11" t="s">
        <v>9</v>
      </c>
      <c r="C4" s="11" t="s">
        <v>173</v>
      </c>
      <c r="D4" s="11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2" t="s">
        <v>16</v>
      </c>
      <c r="J4" s="11" t="s">
        <v>18</v>
      </c>
      <c r="K4" s="11" t="s">
        <v>19</v>
      </c>
      <c r="L4" s="11" t="s">
        <v>20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26</v>
      </c>
      <c r="S4" s="11" t="s">
        <v>27</v>
      </c>
      <c r="T4" s="11" t="s">
        <v>28</v>
      </c>
      <c r="U4" s="11" t="s">
        <v>174</v>
      </c>
      <c r="V4" s="11" t="s">
        <v>30</v>
      </c>
      <c r="W4" s="11" t="s">
        <v>31</v>
      </c>
      <c r="X4" s="11" t="s">
        <v>32</v>
      </c>
      <c r="Y4" s="11" t="s">
        <v>33</v>
      </c>
      <c r="Z4" s="11" t="s">
        <v>175</v>
      </c>
      <c r="AA4" s="11" t="s">
        <v>176</v>
      </c>
      <c r="AB4" s="11" t="s">
        <v>34</v>
      </c>
      <c r="AC4" s="11" t="s">
        <v>202</v>
      </c>
      <c r="AD4" s="11" t="s">
        <v>203</v>
      </c>
      <c r="AE4" s="11" t="s">
        <v>30</v>
      </c>
      <c r="AF4" s="11" t="s">
        <v>204</v>
      </c>
      <c r="AG4" s="11" t="s">
        <v>205</v>
      </c>
      <c r="AH4" s="11" t="s">
        <v>206</v>
      </c>
      <c r="AI4" s="11" t="s">
        <v>150</v>
      </c>
      <c r="AJ4" s="13"/>
    </row>
    <row r="5" s="3" customFormat="1" ht="27" customHeight="1" spans="1:40">
      <c r="A5" s="14" t="s">
        <v>181</v>
      </c>
      <c r="B5" s="14"/>
      <c r="C5" s="14"/>
      <c r="D5" s="14" t="s">
        <v>182</v>
      </c>
      <c r="E5" s="14" t="s">
        <v>183</v>
      </c>
      <c r="F5" s="189" t="s">
        <v>184</v>
      </c>
      <c r="G5" s="14" t="s">
        <v>57</v>
      </c>
      <c r="H5" s="14" t="s">
        <v>185</v>
      </c>
      <c r="I5" s="14" t="s">
        <v>186</v>
      </c>
      <c r="J5" s="14">
        <v>12</v>
      </c>
      <c r="K5" s="14">
        <v>151</v>
      </c>
      <c r="L5" s="14">
        <v>43</v>
      </c>
      <c r="M5" s="14">
        <f t="shared" ref="M5:M8" si="0">K5*L5</f>
        <v>6493</v>
      </c>
      <c r="N5" s="14">
        <v>221.19</v>
      </c>
      <c r="O5" s="14"/>
      <c r="P5" s="14"/>
      <c r="Q5" s="14"/>
      <c r="R5" s="14"/>
      <c r="S5" s="14">
        <f>SUM(M5:R5)</f>
        <v>6714.19</v>
      </c>
      <c r="T5" s="14">
        <v>350</v>
      </c>
      <c r="U5" s="14"/>
      <c r="V5" s="14">
        <f t="shared" ref="V5:V8" si="1">SUM(T5:U5)</f>
        <v>350</v>
      </c>
      <c r="W5" s="14"/>
      <c r="X5" s="14"/>
      <c r="Y5" s="15">
        <f>334.4/7.15</f>
        <v>46.7692307692308</v>
      </c>
      <c r="Z5" s="14"/>
      <c r="AA5" s="14"/>
      <c r="AB5" s="15">
        <f>SUM(W5:AA5)</f>
        <v>46.7692307692308</v>
      </c>
      <c r="AC5" s="15">
        <f>S5*0.1</f>
        <v>671.419</v>
      </c>
      <c r="AD5" s="15">
        <f>AC5*0.06</f>
        <v>40.28514</v>
      </c>
      <c r="AE5" s="14">
        <f>V5</f>
        <v>350</v>
      </c>
      <c r="AF5" s="14">
        <f>AE5*0.06</f>
        <v>21</v>
      </c>
      <c r="AG5" s="15">
        <f>S5*0.9/7.15</f>
        <v>845.142797202797</v>
      </c>
      <c r="AH5" s="15">
        <f>AB5</f>
        <v>46.7692307692308</v>
      </c>
      <c r="AI5" s="14">
        <f>ROUNDUP(SUM(AG5:AH5),2)</f>
        <v>891.92</v>
      </c>
    </row>
    <row r="6" s="3" customFormat="1" ht="27" customHeight="1" spans="1:40">
      <c r="A6" s="14" t="s">
        <v>188</v>
      </c>
      <c r="B6" s="14"/>
      <c r="C6" s="14"/>
      <c r="D6" s="14" t="s">
        <v>182</v>
      </c>
      <c r="E6" s="14" t="s">
        <v>183</v>
      </c>
      <c r="F6" s="189" t="s">
        <v>189</v>
      </c>
      <c r="G6" s="14" t="s">
        <v>57</v>
      </c>
      <c r="H6" s="14" t="s">
        <v>185</v>
      </c>
      <c r="I6" s="14" t="s">
        <v>186</v>
      </c>
      <c r="J6" s="14">
        <v>18</v>
      </c>
      <c r="K6" s="14">
        <v>237</v>
      </c>
      <c r="L6" s="14">
        <v>38</v>
      </c>
      <c r="M6" s="14">
        <f t="shared" si="0"/>
        <v>9006</v>
      </c>
      <c r="N6" s="14">
        <v>200.48</v>
      </c>
      <c r="O6" s="14"/>
      <c r="P6" s="14"/>
      <c r="Q6" s="14"/>
      <c r="R6" s="14"/>
      <c r="S6" s="14">
        <f>SUM(M6:R6)</f>
        <v>9206.48</v>
      </c>
      <c r="T6" s="14">
        <v>350</v>
      </c>
      <c r="U6" s="14"/>
      <c r="V6" s="14">
        <f t="shared" si="1"/>
        <v>350</v>
      </c>
      <c r="W6" s="14"/>
      <c r="X6" s="14"/>
      <c r="Y6" s="15">
        <f>492.92/7.15</f>
        <v>68.9398601398601</v>
      </c>
      <c r="Z6" s="14"/>
      <c r="AA6" s="14"/>
      <c r="AB6" s="15">
        <f>SUM(W6:AA6)</f>
        <v>68.9398601398601</v>
      </c>
      <c r="AC6" s="15">
        <f>S6*0.1</f>
        <v>920.648</v>
      </c>
      <c r="AD6" s="15">
        <f>AC6*0.06</f>
        <v>55.23888</v>
      </c>
      <c r="AE6" s="14">
        <f>V6</f>
        <v>350</v>
      </c>
      <c r="AF6" s="14">
        <f>AE6*0.06</f>
        <v>21</v>
      </c>
      <c r="AG6" s="15">
        <f>S6*0.9/7.15</f>
        <v>1158.85762237762</v>
      </c>
      <c r="AH6" s="15">
        <f>AB6</f>
        <v>68.9398601398601</v>
      </c>
      <c r="AI6" s="14">
        <f>ROUNDUP(SUM(AG6:AH6),2)</f>
        <v>1227.8</v>
      </c>
    </row>
    <row r="7" s="3" customFormat="1" ht="27" customHeight="1" spans="1:40">
      <c r="A7" s="14" t="s">
        <v>190</v>
      </c>
      <c r="B7" s="14"/>
      <c r="C7" s="14"/>
      <c r="D7" s="14" t="s">
        <v>182</v>
      </c>
      <c r="E7" s="14" t="s">
        <v>183</v>
      </c>
      <c r="F7" s="189" t="s">
        <v>191</v>
      </c>
      <c r="G7" s="14" t="s">
        <v>57</v>
      </c>
      <c r="H7" s="14" t="s">
        <v>185</v>
      </c>
      <c r="I7" s="14" t="s">
        <v>186</v>
      </c>
      <c r="J7" s="14">
        <v>13</v>
      </c>
      <c r="K7" s="14">
        <v>198</v>
      </c>
      <c r="L7" s="14">
        <v>42</v>
      </c>
      <c r="M7" s="14">
        <f t="shared" si="0"/>
        <v>8316</v>
      </c>
      <c r="N7" s="14">
        <v>214.25</v>
      </c>
      <c r="O7" s="14"/>
      <c r="P7" s="14"/>
      <c r="Q7" s="14"/>
      <c r="R7" s="14"/>
      <c r="S7" s="14">
        <f>SUM(M7:R7)</f>
        <v>8530.25</v>
      </c>
      <c r="T7" s="14">
        <v>350</v>
      </c>
      <c r="U7" s="14"/>
      <c r="V7" s="14">
        <f t="shared" si="1"/>
        <v>350</v>
      </c>
      <c r="W7" s="14"/>
      <c r="X7" s="14"/>
      <c r="Y7" s="15">
        <f>463.8/7.15</f>
        <v>64.8671328671329</v>
      </c>
      <c r="Z7" s="14"/>
      <c r="AA7" s="14"/>
      <c r="AB7" s="15">
        <f>SUM(W7:AA7)</f>
        <v>64.8671328671329</v>
      </c>
      <c r="AC7" s="15">
        <f>S7*0.1</f>
        <v>853.025</v>
      </c>
      <c r="AD7" s="15">
        <f>AC7*0.06</f>
        <v>51.1815</v>
      </c>
      <c r="AE7" s="14">
        <f>V7</f>
        <v>350</v>
      </c>
      <c r="AF7" s="14">
        <f>AE7*0.06</f>
        <v>21</v>
      </c>
      <c r="AG7" s="15">
        <f>S7*0.9/7.15</f>
        <v>1073.73776223776</v>
      </c>
      <c r="AH7" s="15">
        <f>AB7</f>
        <v>64.8671328671329</v>
      </c>
      <c r="AI7" s="14">
        <f>ROUNDUP(SUM(AG7:AH7),2)</f>
        <v>1138.61</v>
      </c>
    </row>
    <row r="8" s="3" customFormat="1" ht="27" customHeight="1" spans="1:40">
      <c r="A8" s="14" t="s">
        <v>192</v>
      </c>
      <c r="B8" s="14"/>
      <c r="C8" s="14"/>
      <c r="D8" s="14" t="s">
        <v>182</v>
      </c>
      <c r="E8" s="14" t="s">
        <v>183</v>
      </c>
      <c r="F8" s="189" t="s">
        <v>193</v>
      </c>
      <c r="G8" s="14" t="s">
        <v>57</v>
      </c>
      <c r="H8" s="14" t="s">
        <v>185</v>
      </c>
      <c r="I8" s="14" t="s">
        <v>186</v>
      </c>
      <c r="J8" s="14">
        <v>6</v>
      </c>
      <c r="K8" s="14">
        <v>83</v>
      </c>
      <c r="L8" s="14">
        <v>35</v>
      </c>
      <c r="M8" s="14">
        <f t="shared" si="0"/>
        <v>2905</v>
      </c>
      <c r="N8" s="14">
        <v>199.28</v>
      </c>
      <c r="O8" s="14"/>
      <c r="P8" s="14"/>
      <c r="Q8" s="14"/>
      <c r="R8" s="14"/>
      <c r="S8" s="14">
        <f>SUM(M8:R8)</f>
        <v>3104.28</v>
      </c>
      <c r="T8" s="14">
        <v>350</v>
      </c>
      <c r="U8" s="14"/>
      <c r="V8" s="14">
        <f t="shared" si="1"/>
        <v>350</v>
      </c>
      <c r="W8" s="14"/>
      <c r="X8" s="14"/>
      <c r="Y8" s="15">
        <f>442.68/7.15</f>
        <v>61.9132867132867</v>
      </c>
      <c r="Z8" s="14"/>
      <c r="AA8" s="14"/>
      <c r="AB8" s="15">
        <f>SUM(W8:AA8)</f>
        <v>61.9132867132867</v>
      </c>
      <c r="AC8" s="15">
        <f>S8*0.1</f>
        <v>310.428</v>
      </c>
      <c r="AD8" s="15">
        <f>AC8*0.06</f>
        <v>18.62568</v>
      </c>
      <c r="AE8" s="14">
        <f>V8</f>
        <v>350</v>
      </c>
      <c r="AF8" s="14">
        <f>AE8*0.06</f>
        <v>21</v>
      </c>
      <c r="AG8" s="15">
        <f>S8*0.9/7.15</f>
        <v>390.748531468531</v>
      </c>
      <c r="AH8" s="15">
        <f>AB8</f>
        <v>61.9132867132867</v>
      </c>
      <c r="AI8" s="14">
        <f>ROUNDUP(SUM(AG8:AH8),2)</f>
        <v>452.67</v>
      </c>
    </row>
    <row r="9" s="3" customFormat="1" ht="27" customHeight="1" spans="1:40">
      <c r="N9" s="16" t="s">
        <v>150</v>
      </c>
      <c r="S9" s="17">
        <f>SUM(S5:S8)</f>
        <v>27555.2</v>
      </c>
      <c r="V9" s="17">
        <f>SUM(V5:V8)</f>
        <v>1400</v>
      </c>
      <c r="Y9" s="18">
        <f t="shared" ref="Y9:AI9" si="2">SUM(Y5:Y8)</f>
        <v>242.489510489511</v>
      </c>
      <c r="AB9" s="18">
        <f t="shared" si="2"/>
        <v>242.489510489511</v>
      </c>
      <c r="AC9" s="18">
        <f t="shared" si="2"/>
        <v>2755.52</v>
      </c>
      <c r="AD9" s="18">
        <f t="shared" si="2"/>
        <v>165.3312</v>
      </c>
      <c r="AE9" s="17">
        <f t="shared" si="2"/>
        <v>1400</v>
      </c>
      <c r="AF9" s="17">
        <f t="shared" si="2"/>
        <v>84</v>
      </c>
      <c r="AG9" s="8">
        <f t="shared" si="2"/>
        <v>3468.48671328671</v>
      </c>
      <c r="AH9" s="8">
        <f t="shared" si="2"/>
        <v>242.489510489511</v>
      </c>
      <c r="AI9" s="16">
        <f t="shared" si="2"/>
        <v>3711</v>
      </c>
    </row>
    <row r="10" s="3" customFormat="1" spans="1:40">
      <c r="Y10" s="8"/>
      <c r="AB10" s="8"/>
      <c r="AC10" s="8"/>
      <c r="AD10" s="8"/>
      <c r="AG10" s="8"/>
      <c r="AH10" s="8"/>
    </row>
    <row r="11" spans="1:40">
      <c r="AG11"/>
      <c r="AH11"/>
      <c r="AI11" s="5"/>
    </row>
    <row r="14" s="4" customFormat="1" ht="22" hidden="1" customHeight="1" spans="1:40">
      <c r="A14" s="19" t="s">
        <v>198</v>
      </c>
      <c r="B14" s="20"/>
      <c r="C14" s="20" t="s">
        <v>199</v>
      </c>
      <c r="Y14" s="21"/>
      <c r="AB14" s="21"/>
      <c r="AC14" s="21"/>
      <c r="AD14" s="21"/>
      <c r="AG14" s="21"/>
      <c r="AH14" s="21"/>
      <c r="AI14" s="22"/>
      <c r="AJ14" s="22"/>
      <c r="AK14" s="22"/>
      <c r="AL14" s="22"/>
      <c r="AM14" s="22"/>
    </row>
    <row r="15" ht="17.6" spans="1:40">
      <c r="A15" s="23" t="s">
        <v>160</v>
      </c>
      <c r="B15" s="23"/>
      <c r="C15" s="24"/>
      <c r="D15" s="24"/>
      <c r="E15" s="24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7"/>
      <c r="Z15" s="26"/>
      <c r="AA15" s="26"/>
      <c r="AB15" s="27"/>
      <c r="AC15" s="27"/>
      <c r="AD15" s="27"/>
      <c r="AE15" s="26"/>
      <c r="AF15" s="26"/>
      <c r="AG15" s="27"/>
      <c r="AH15" s="27"/>
      <c r="AI15" s="28"/>
      <c r="AJ15" s="28"/>
      <c r="AK15" s="28"/>
      <c r="AL15" s="28"/>
      <c r="AM15" s="28"/>
      <c r="AN15" s="26"/>
    </row>
    <row r="16" ht="17.6" spans="1:40">
      <c r="A16" s="23" t="s">
        <v>207</v>
      </c>
      <c r="B16" s="23"/>
      <c r="C16" s="29"/>
      <c r="D16" s="30"/>
      <c r="E16" s="31"/>
    </row>
    <row r="17" ht="17.6" spans="1:5">
      <c r="A17" s="32" t="s">
        <v>208</v>
      </c>
      <c r="B17" s="32"/>
      <c r="C17" s="29"/>
      <c r="D17" s="30"/>
      <c r="E17" s="31"/>
    </row>
    <row r="18" ht="17.6" spans="1:5">
      <c r="A18" s="32" t="s">
        <v>209</v>
      </c>
      <c r="B18" s="32"/>
      <c r="C18" s="29"/>
      <c r="D18" s="30"/>
      <c r="E18" s="31"/>
    </row>
    <row r="19" ht="17.6" spans="1:5">
      <c r="A19" s="23" t="s">
        <v>169</v>
      </c>
      <c r="B19" s="23"/>
      <c r="C19" s="29"/>
      <c r="D19" s="30"/>
      <c r="E19" s="31"/>
    </row>
    <row r="20" ht="17.6" spans="1:5">
      <c r="A20" s="32" t="s">
        <v>210</v>
      </c>
      <c r="B20" s="32"/>
      <c r="C20" s="29"/>
      <c r="D20" s="29"/>
      <c r="E20" s="29"/>
    </row>
  </sheetData>
  <mergeCells count="10">
    <mergeCell ref="A1:AI1"/>
    <mergeCell ref="AC2:AF2"/>
    <mergeCell ref="AG2:AH2"/>
    <mergeCell ref="A15:B15"/>
    <mergeCell ref="A16:B16"/>
    <mergeCell ref="A17:B17"/>
    <mergeCell ref="A18:B18"/>
    <mergeCell ref="A19:B19"/>
    <mergeCell ref="A20:B20"/>
    <mergeCell ref="C20:E20"/>
  </mergeCells>
  <pageMargins left="0.75" right="0.75" top="1" bottom="1" header="0.511805555555556" footer="0.511805555555556"/>
  <pageSetup paperSize="9" scale="76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E3915C-A068-421A-943F-4313E103E9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原始账单</vt:lpstr>
      <vt:lpstr>整理后应付人民币</vt:lpstr>
      <vt:lpstr>整理应付美金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2024-10-14T15:33:00Z</dcterms:created>
  <dcterms:modified xsi:type="dcterms:W3CDTF">2026-06-08T16:52:18Z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4362890527864B0296997C4D44CEE642_13</vt:lpwstr>
  </property>
  <property fmtid="{D5CDD505-2E9C-101B-9397-08002B2CF9AE}" pid="3" name="KSOProductBuildVer">
    <vt:lpwstr>2052-12.1.25895.25895</vt:lpwstr>
  </property>
  <property fmtid="{D5CDD505-2E9C-101B-9397-08002B2CF9AE}" pid="4" name="UFIDA_U9App_DataSourceXMLPart">
    <vt:lpwstr>{a4e3915c-a068-421a-943f-4313e103e9fa}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