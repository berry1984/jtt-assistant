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10455" tabRatio="804" activeTab="1"/>
  </bookViews>
  <sheets>
    <sheet name="开票金额" sheetId="17" r:id="rId1"/>
    <sheet name="5月人民币账单（已调格式）" sheetId="18" r:id="rId2"/>
    <sheet name="报价表A" sheetId="16" r:id="rId3"/>
  </sheets>
  <definedNames>
    <definedName name="_xlnm._FilterDatabase" localSheetId="1" hidden="1">'5月人民币账单（已调格式）'!$A$3:$AC$20</definedName>
    <definedName name="_xlnm._FilterDatabase" localSheetId="2" hidden="1">报价表A!$A$3:$I$10</definedName>
    <definedName name="_xlnm.Print_Area" localSheetId="1">'5月人民币账单（已调格式）'!$A$1:$AB$21</definedName>
    <definedName name="_xlnm.Print_Titles" localSheetId="1">'5月人民币账单（已调格式）'!$1:$3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<sst xmlns="http://schemas.openxmlformats.org/spreadsheetml/2006/main" count="136" uniqueCount="83">
  <si>
    <t>项目名称</t>
  </si>
  <si>
    <t>金额</t>
  </si>
  <si>
    <t>税点</t>
  </si>
  <si>
    <t>税额</t>
  </si>
  <si>
    <t>合计</t>
  </si>
  <si>
    <t>国际货物运输代理服务</t>
  </si>
  <si>
    <t>免税</t>
  </si>
  <si>
    <t>国内货物运输代理服务</t>
  </si>
  <si>
    <t>经纪代理服务-报关费</t>
  </si>
  <si>
    <t>总额</t>
  </si>
  <si>
    <t xml:space="preserve">赛诺吉（深圳）国际货运代理有限公司
JTT Logistics Company Limited      </t>
  </si>
  <si>
    <t>至：广州拓锐科技有限公司（5.11-5.17）</t>
  </si>
  <si>
    <t>国内运费</t>
  </si>
  <si>
    <t>国际运费</t>
  </si>
  <si>
    <t>报关费</t>
  </si>
  <si>
    <t>发货日期</t>
  </si>
  <si>
    <t>SO</t>
  </si>
  <si>
    <t>FBA</t>
  </si>
  <si>
    <t>走货渠道</t>
  </si>
  <si>
    <t>仓库代码</t>
  </si>
  <si>
    <t>箱数</t>
  </si>
  <si>
    <t>长(cm)</t>
  </si>
  <si>
    <t>宽(cm)</t>
  </si>
  <si>
    <t>高(cm)</t>
  </si>
  <si>
    <t>计费重合计</t>
  </si>
  <si>
    <t>单价</t>
  </si>
  <si>
    <r>
      <rPr>
        <b/>
        <sz val="10"/>
        <rFont val="Microsoft YaHei Light"/>
        <charset val="134"/>
      </rPr>
      <t xml:space="preserve">门到港
</t>
    </r>
    <r>
      <rPr>
        <b/>
        <sz val="10"/>
        <color rgb="FFFF0000"/>
        <rFont val="Microsoft YaHei Light"/>
        <charset val="134"/>
      </rPr>
      <t>总单价*0.07/1.06</t>
    </r>
  </si>
  <si>
    <r>
      <rPr>
        <b/>
        <sz val="10"/>
        <rFont val="Microsoft YaHei Light"/>
        <charset val="134"/>
      </rPr>
      <t xml:space="preserve">港到港
</t>
    </r>
    <r>
      <rPr>
        <b/>
        <sz val="10"/>
        <color rgb="FFFF0000"/>
        <rFont val="Microsoft YaHei Light"/>
        <charset val="134"/>
      </rPr>
      <t>总单价*0.35</t>
    </r>
  </si>
  <si>
    <r>
      <rPr>
        <b/>
        <sz val="10"/>
        <rFont val="Microsoft YaHei Light"/>
        <charset val="134"/>
      </rPr>
      <t xml:space="preserve">港到门
</t>
    </r>
    <r>
      <rPr>
        <b/>
        <sz val="10"/>
        <color rgb="FFFF0000"/>
        <rFont val="Microsoft YaHei Light"/>
        <charset val="134"/>
      </rPr>
      <t>总单价*0.58</t>
    </r>
  </si>
  <si>
    <t>国内税点6%</t>
  </si>
  <si>
    <t>国际运费1</t>
  </si>
  <si>
    <t>国际运费2</t>
  </si>
  <si>
    <t>报关税费6%</t>
  </si>
  <si>
    <t>清关费</t>
  </si>
  <si>
    <t>税金</t>
  </si>
  <si>
    <t>附加费</t>
  </si>
  <si>
    <t>其他费用</t>
  </si>
  <si>
    <t>退税损失</t>
  </si>
  <si>
    <t>币种</t>
  </si>
  <si>
    <t>总应收(RMB)</t>
  </si>
  <si>
    <t>备注</t>
  </si>
  <si>
    <t>JTT202605000320</t>
  </si>
  <si>
    <t>FBA19D4ZZ6L1</t>
  </si>
  <si>
    <t>美国超快线-卡派</t>
  </si>
  <si>
    <t>FTW1</t>
  </si>
  <si>
    <t>RMB</t>
  </si>
  <si>
    <t>JTT202605000321</t>
  </si>
  <si>
    <t>FBA19D86M1Y6</t>
  </si>
  <si>
    <t>VGT2</t>
  </si>
  <si>
    <t>FBA19D4XC89Y</t>
  </si>
  <si>
    <t>FBA19D4ZHW94</t>
  </si>
  <si>
    <t>FBA19D4ZL1TP</t>
  </si>
  <si>
    <t>JTT202605000324</t>
  </si>
  <si>
    <t>FBA19D8FFYK9</t>
  </si>
  <si>
    <t>ORF2</t>
  </si>
  <si>
    <t>JTT202605000325</t>
  </si>
  <si>
    <t>FBA19D8BK752</t>
  </si>
  <si>
    <t>ONT8</t>
  </si>
  <si>
    <t>JTT202605000326</t>
  </si>
  <si>
    <t>FBA19D8GG5JD</t>
  </si>
  <si>
    <t>GYR3</t>
  </si>
  <si>
    <t>JTT202605000322</t>
  </si>
  <si>
    <t>FBA19D6207FC</t>
  </si>
  <si>
    <t>美转加东超快线-卡派</t>
  </si>
  <si>
    <t>YHM1</t>
  </si>
  <si>
    <t>FBA19D60F19N</t>
  </si>
  <si>
    <t>JTT202605000323</t>
  </si>
  <si>
    <t>FBA19D4X2VC8</t>
  </si>
  <si>
    <t>美转加西超快线-卡派</t>
  </si>
  <si>
    <t>YVR4</t>
  </si>
  <si>
    <t/>
  </si>
  <si>
    <t>以下账户信息为我司唯一合法收款账户，如付款至其他账户我司概不负责!</t>
  </si>
  <si>
    <r>
      <rPr>
        <b/>
        <sz val="10"/>
        <color rgb="FFFF0000"/>
        <rFont val="Microsoft YaHei Light"/>
        <charset val="134"/>
      </rPr>
      <t>对公账户：</t>
    </r>
    <r>
      <rPr>
        <b/>
        <sz val="10"/>
        <rFont val="Microsoft YaHei Light"/>
        <charset val="134"/>
      </rPr>
      <t xml:space="preserve">
账户名：赛诺吉(深圳)国际货运代理有限公司
公司地址：深圳市福田区沙头街道沙嘴社区沙嘴路8号红树华府A栋35层3504、3505、3506
联系电话：0755-82720817
账  号：41009000040015688
开户行：中国农业银行深圳福田保税区支行    </t>
    </r>
  </si>
  <si>
    <t>请勿用私人账户付到我司公账，谢谢配合。</t>
  </si>
  <si>
    <t>JTT每周报价汇总表</t>
  </si>
  <si>
    <r>
      <rPr>
        <sz val="11"/>
        <color rgb="FF000000"/>
        <rFont val="微软雅黑"/>
        <charset val="134"/>
      </rPr>
      <t>月份</t>
    </r>
  </si>
  <si>
    <r>
      <rPr>
        <sz val="11"/>
        <color rgb="FF000000"/>
        <rFont val="微软雅黑"/>
        <charset val="134"/>
      </rPr>
      <t>周</t>
    </r>
  </si>
  <si>
    <r>
      <rPr>
        <sz val="11"/>
        <color rgb="FF000000"/>
        <rFont val="微软雅黑"/>
        <charset val="134"/>
      </rPr>
      <t>渠道</t>
    </r>
  </si>
  <si>
    <r>
      <rPr>
        <sz val="11"/>
        <color rgb="FF000000"/>
        <rFont val="微软雅黑"/>
        <charset val="134"/>
      </rPr>
      <t>仓库</t>
    </r>
  </si>
  <si>
    <r>
      <rPr>
        <sz val="11"/>
        <color rgb="FF000000"/>
        <rFont val="微软雅黑"/>
        <charset val="134"/>
      </rPr>
      <t xml:space="preserve">门到港
</t>
    </r>
    <r>
      <rPr>
        <b/>
        <sz val="10"/>
        <color rgb="FFFF0000"/>
        <rFont val="Microsoft YaHei Light"/>
        <charset val="134"/>
      </rPr>
      <t>总单价</t>
    </r>
  </si>
  <si>
    <r>
      <rPr>
        <b/>
        <sz val="10"/>
        <rFont val="Microsoft YaHei Light"/>
        <charset val="134"/>
      </rPr>
      <t xml:space="preserve">港到港
</t>
    </r>
    <r>
      <rPr>
        <b/>
        <sz val="10"/>
        <color rgb="FFFF0000"/>
        <rFont val="Microsoft YaHei Light"/>
        <charset val="134"/>
      </rPr>
      <t>总单价</t>
    </r>
  </si>
  <si>
    <r>
      <rPr>
        <b/>
        <sz val="10"/>
        <rFont val="Microsoft YaHei Light"/>
        <charset val="134"/>
      </rPr>
      <t xml:space="preserve">港到门
</t>
    </r>
    <r>
      <rPr>
        <b/>
        <sz val="10"/>
        <color rgb="FFFF0000"/>
        <rFont val="Microsoft YaHei Light"/>
        <charset val="134"/>
      </rPr>
      <t>总单价</t>
    </r>
  </si>
  <si>
    <t>第三周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</si>
</sst>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  <numFmt numFmtId="178" formatCode="0.00_ "/>
    <numFmt numFmtId="179" formatCode="0_ "/>
    <numFmt numFmtId="180" formatCode="0.0_);[Red]\(0.0\)"/>
    <numFmt numFmtId="181" formatCode="#,##0.0"/>
  </numFmts>
  <fonts count="48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b/>
      <sz val="10"/>
      <color rgb="FFFF0000"/>
      <name val="微软雅黑"/>
      <charset val="134"/>
    </font>
    <font>
      <b/>
      <sz val="14"/>
      <name val="Microsoft YaHei Light"/>
      <charset val="134"/>
    </font>
    <font>
      <b/>
      <sz val="10"/>
      <name val="Microsoft YaHei Light"/>
      <charset val="134"/>
    </font>
    <font>
      <b/>
      <sz val="10"/>
      <name val="Microsoft YaHei UI"/>
      <charset val="134"/>
    </font>
    <font>
      <b/>
      <sz val="11"/>
      <name val="微软雅黑"/>
      <charset val="134"/>
    </font>
    <font>
      <sz val="10"/>
      <name val="Microsoft YaHei Light"/>
      <charset val="134"/>
    </font>
    <font>
      <sz val="11"/>
      <name val="Microsoft YaHei Light"/>
      <charset val="134"/>
    </font>
    <font>
      <b/>
      <sz val="11"/>
      <name val="Microsoft YaHei Light"/>
      <charset val="134"/>
    </font>
    <font>
      <b/>
      <sz val="11"/>
      <color theme="1"/>
      <name val="Microsoft YaHei Light"/>
      <charset val="134"/>
    </font>
    <font>
      <sz val="11"/>
      <color theme="1"/>
      <name val="Microsoft YaHei Light"/>
      <charset val="134"/>
    </font>
    <font>
      <b/>
      <sz val="22"/>
      <name val="Microsoft YaHei Light"/>
      <charset val="134"/>
    </font>
    <font>
      <b/>
      <sz val="14"/>
      <name val="微软雅黑"/>
      <charset val="134"/>
    </font>
    <font>
      <b/>
      <sz val="14"/>
      <color theme="1"/>
      <name val="Microsoft YaHei Light"/>
      <charset val="134"/>
    </font>
    <font>
      <b/>
      <sz val="10"/>
      <color theme="1"/>
      <name val="Microsoft YaHei Light"/>
      <charset val="134"/>
    </font>
    <font>
      <b/>
      <sz val="10"/>
      <color indexed="8"/>
      <name val="Microsoft YaHei Light"/>
      <charset val="134"/>
    </font>
    <font>
      <b/>
      <sz val="10"/>
      <color rgb="FFFF0000"/>
      <name val="Microsoft YaHei Light"/>
      <charset val="134"/>
    </font>
    <font>
      <sz val="10"/>
      <color theme="1"/>
      <name val="微软雅黑"/>
      <charset val="134"/>
    </font>
    <font>
      <sz val="10"/>
      <name val="宋体"/>
      <charset val="134"/>
    </font>
    <font>
      <sz val="10"/>
      <color indexed="8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b/>
      <sz val="12"/>
      <color rgb="FFFF0000"/>
      <name val="微软雅黑"/>
      <charset val="134"/>
    </font>
    <font>
      <sz val="10"/>
      <color theme="1"/>
      <name val="Microsoft YaHei Light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0" borderId="11" applyNumberFormat="0" applyAlignment="0" applyProtection="0">
      <alignment vertical="center"/>
    </xf>
    <xf numFmtId="0" fontId="37" fillId="11" borderId="12" applyNumberFormat="0" applyAlignment="0" applyProtection="0">
      <alignment vertical="center"/>
    </xf>
    <xf numFmtId="0" fontId="38" fillId="11" borderId="11" applyNumberFormat="0" applyAlignment="0" applyProtection="0">
      <alignment vertical="center"/>
    </xf>
    <xf numFmtId="0" fontId="39" fillId="12" borderId="13" applyNumberFormat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0" fillId="0" borderId="0"/>
    <xf numFmtId="0" fontId="47" fillId="0" borderId="0">
      <alignment vertical="center"/>
    </xf>
    <xf numFmtId="0" fontId="0" fillId="0" borderId="0">
      <alignment vertical="center"/>
    </xf>
    <xf numFmtId="0" fontId="47" fillId="0" borderId="0">
      <alignment vertical="center"/>
    </xf>
  </cellStyleXfs>
  <cellXfs count="116">
    <xf numFmtId="0" fontId="0" fillId="0" borderId="0" xfId="0">
      <alignment vertical="center"/>
    </xf>
    <xf numFmtId="0" fontId="0" fillId="0" borderId="0" xfId="0" applyBorder="1">
      <alignment vertical="center"/>
    </xf>
    <xf numFmtId="176" fontId="0" fillId="0" borderId="0" xfId="51" applyNumberFormat="1">
      <alignment vertical="center"/>
    </xf>
    <xf numFmtId="176" fontId="0" fillId="0" borderId="0" xfId="51" applyNumberFormat="1" applyAlignment="1">
      <alignment vertical="center" wrapText="1"/>
    </xf>
    <xf numFmtId="176" fontId="0" fillId="0" borderId="0" xfId="51" applyNumberFormat="1" applyAlignment="1">
      <alignment horizontal="center" vertical="center"/>
    </xf>
    <xf numFmtId="176" fontId="0" fillId="0" borderId="0" xfId="49" applyNumberFormat="1" applyAlignment="1">
      <alignment vertical="center"/>
    </xf>
    <xf numFmtId="176" fontId="0" fillId="0" borderId="0" xfId="49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4" fontId="10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4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177" fontId="14" fillId="0" borderId="0" xfId="0" applyNumberFormat="1" applyFont="1" applyAlignment="1">
      <alignment horizontal="center" vertical="center" wrapText="1"/>
    </xf>
    <xf numFmtId="0" fontId="15" fillId="5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176" fontId="5" fillId="0" borderId="0" xfId="0" applyNumberFormat="1" applyFont="1" applyAlignment="1">
      <alignment horizontal="center" vertical="center"/>
    </xf>
    <xf numFmtId="177" fontId="16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176" fontId="16" fillId="0" borderId="0" xfId="0" applyNumberFormat="1" applyFont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78" fontId="16" fillId="0" borderId="0" xfId="0" applyNumberFormat="1" applyFont="1" applyAlignment="1">
      <alignment horizontal="left" vertical="center"/>
    </xf>
    <xf numFmtId="14" fontId="17" fillId="8" borderId="1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77" fontId="6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76" fontId="6" fillId="8" borderId="1" xfId="0" applyNumberFormat="1" applyFont="1" applyFill="1" applyBorder="1" applyAlignment="1">
      <alignment horizontal="center" vertical="center" wrapText="1"/>
    </xf>
    <xf numFmtId="178" fontId="6" fillId="8" borderId="1" xfId="0" applyNumberFormat="1" applyFont="1" applyFill="1" applyBorder="1" applyAlignment="1">
      <alignment horizontal="center" vertical="center"/>
    </xf>
    <xf numFmtId="176" fontId="17" fillId="8" borderId="1" xfId="0" applyNumberFormat="1" applyFont="1" applyFill="1" applyBorder="1" applyAlignment="1">
      <alignment horizontal="center" vertical="center"/>
    </xf>
    <xf numFmtId="178" fontId="17" fillId="8" borderId="1" xfId="0" applyNumberFormat="1" applyFont="1" applyFill="1" applyBorder="1" applyAlignment="1">
      <alignment horizontal="center" vertical="center"/>
    </xf>
    <xf numFmtId="178" fontId="19" fillId="8" borderId="1" xfId="0" applyNumberFormat="1" applyFont="1" applyFill="1" applyBorder="1" applyAlignment="1">
      <alignment horizontal="center" vertical="center"/>
    </xf>
    <xf numFmtId="58" fontId="20" fillId="2" borderId="1" xfId="0" applyNumberFormat="1" applyFont="1" applyFill="1" applyBorder="1" applyAlignment="1">
      <alignment horizontal="center" vertical="center" wrapText="1"/>
    </xf>
    <xf numFmtId="0" fontId="21" fillId="2" borderId="1" xfId="0" applyNumberFormat="1" applyFont="1" applyFill="1" applyBorder="1" applyAlignment="1">
      <alignment horizontal="center" vertical="center"/>
    </xf>
    <xf numFmtId="179" fontId="22" fillId="2" borderId="1" xfId="0" applyNumberFormat="1" applyFont="1" applyFill="1" applyBorder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/>
    </xf>
    <xf numFmtId="180" fontId="4" fillId="5" borderId="4" xfId="0" applyNumberFormat="1" applyFont="1" applyFill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3" fillId="5" borderId="2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76" fontId="3" fillId="5" borderId="5" xfId="0" applyNumberFormat="1" applyFont="1" applyFill="1" applyBorder="1" applyAlignment="1">
      <alignment horizontal="center" vertical="center" wrapText="1"/>
    </xf>
    <xf numFmtId="176" fontId="3" fillId="5" borderId="6" xfId="0" applyNumberFormat="1" applyFont="1" applyFill="1" applyBorder="1" applyAlignment="1">
      <alignment horizontal="center" vertical="center" wrapText="1"/>
    </xf>
    <xf numFmtId="58" fontId="20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9" fontId="22" fillId="0" borderId="1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80" fontId="4" fillId="0" borderId="4" xfId="0" applyNumberFormat="1" applyFont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77" fontId="23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176" fontId="23" fillId="0" borderId="1" xfId="0" applyNumberFormat="1" applyFont="1" applyBorder="1" applyAlignment="1">
      <alignment horizontal="center" vertical="center"/>
    </xf>
    <xf numFmtId="3" fontId="24" fillId="0" borderId="1" xfId="0" applyNumberFormat="1" applyFont="1" applyBorder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/>
    </xf>
    <xf numFmtId="3" fontId="24" fillId="0" borderId="7" xfId="0" applyNumberFormat="1" applyFont="1" applyBorder="1" applyAlignment="1">
      <alignment horizontal="center" vertical="center"/>
    </xf>
    <xf numFmtId="181" fontId="24" fillId="0" borderId="1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25" fillId="0" borderId="1" xfId="52" applyFont="1" applyBorder="1" applyAlignment="1">
      <alignment horizontal="center" vertical="center" wrapText="1"/>
    </xf>
    <xf numFmtId="4" fontId="25" fillId="0" borderId="1" xfId="52" applyNumberFormat="1" applyFont="1" applyBorder="1" applyAlignment="1">
      <alignment horizontal="center" vertical="center" wrapText="1"/>
    </xf>
    <xf numFmtId="0" fontId="19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6" fontId="17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78" fontId="26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177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176" fontId="17" fillId="0" borderId="0" xfId="0" applyNumberFormat="1" applyFont="1" applyAlignment="1">
      <alignment horizontal="left" vertical="center"/>
    </xf>
    <xf numFmtId="176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 wrapText="1"/>
    </xf>
    <xf numFmtId="178" fontId="26" fillId="0" borderId="0" xfId="0" applyNumberFormat="1" applyFont="1" applyAlignment="1">
      <alignment horizontal="left" vertical="center"/>
    </xf>
    <xf numFmtId="0" fontId="19" fillId="4" borderId="0" xfId="0" applyFont="1" applyFill="1" applyAlignment="1">
      <alignment horizontal="left"/>
    </xf>
    <xf numFmtId="0" fontId="6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14" fontId="9" fillId="4" borderId="0" xfId="0" applyNumberFormat="1" applyFont="1" applyFill="1" applyAlignment="1">
      <alignment horizontal="center" vertical="center"/>
    </xf>
    <xf numFmtId="176" fontId="0" fillId="0" borderId="0" xfId="0" applyNumberFormat="1">
      <alignment vertical="center"/>
    </xf>
    <xf numFmtId="0" fontId="27" fillId="0" borderId="0" xfId="0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9" fontId="27" fillId="0" borderId="0" xfId="0" applyNumberFormat="1" applyFont="1" applyAlignment="1">
      <alignment horizontal="center" vertical="center"/>
    </xf>
    <xf numFmtId="176" fontId="27" fillId="6" borderId="0" xfId="0" applyNumberFormat="1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0C0C0"/>
      <rgbColor rgb="00FF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60960</xdr:colOff>
      <xdr:row>0</xdr:row>
      <xdr:rowOff>73660</xdr:rowOff>
    </xdr:from>
    <xdr:to>
      <xdr:col>2</xdr:col>
      <xdr:colOff>346710</xdr:colOff>
      <xdr:row>0</xdr:row>
      <xdr:rowOff>890905</xdr:rowOff>
    </xdr:to>
    <xdr:sp>
      <xdr:nvSpPr>
        <xdr:cNvPr id="2" name="object 4"/>
        <xdr:cNvSpPr/>
      </xdr:nvSpPr>
      <xdr:spPr>
        <a:xfrm>
          <a:off x="60960" y="73660"/>
          <a:ext cx="2184400" cy="817245"/>
        </a:xfrm>
        <a:prstGeom prst="rect">
          <a:avLst/>
        </a:prstGeom>
        <a:blipFill>
          <a:blip r:embed="rId1" cstate="print"/>
          <a:stretch>
            <a:fillRect/>
          </a:stretch>
        </a:blipFill>
      </xdr:spPr>
      <xdr:txBody>
        <a:bodyPr wrap="square" lIns="0" tIns="0" rIns="0" bIns="0" rtlCol="0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zoomScale="115" zoomScaleNormal="115" workbookViewId="0">
      <selection activeCell="D5" sqref="D5"/>
    </sheetView>
  </sheetViews>
  <sheetFormatPr defaultColWidth="9" defaultRowHeight="13.5" outlineLevelRow="4" outlineLevelCol="4"/>
  <cols>
    <col min="1" max="1" width="23.2035398230088" customWidth="1"/>
    <col min="2" max="2" width="23.2035398230088" style="110" customWidth="1"/>
    <col min="3" max="4" width="23.2035398230088" customWidth="1"/>
    <col min="5" max="5" width="23.2035398230088" style="110" customWidth="1"/>
  </cols>
  <sheetData>
    <row r="1" ht="15" spans="1:5">
      <c r="A1" s="111" t="s">
        <v>0</v>
      </c>
      <c r="B1" s="112" t="s">
        <v>1</v>
      </c>
      <c r="C1" s="111" t="s">
        <v>2</v>
      </c>
      <c r="D1" s="111" t="s">
        <v>3</v>
      </c>
      <c r="E1" s="112" t="s">
        <v>4</v>
      </c>
    </row>
    <row r="2" ht="15" spans="1:5">
      <c r="A2" s="111" t="s">
        <v>5</v>
      </c>
      <c r="B2" s="112">
        <f>'5月人民币账单（已调格式）'!Q16+'5月人民币账单（已调格式）'!R16+'5月人民币账单（已调格式）'!U16+'5月人民币账单（已调格式）'!W16</f>
        <v>9859.395</v>
      </c>
      <c r="C2" s="111" t="s">
        <v>6</v>
      </c>
      <c r="D2" s="111">
        <v>0</v>
      </c>
      <c r="E2" s="112">
        <f>B2+D2</f>
        <v>9859.395</v>
      </c>
    </row>
    <row r="3" ht="15" spans="1:5">
      <c r="A3" s="111" t="s">
        <v>7</v>
      </c>
      <c r="B3" s="112">
        <f>'5月人民币账单（已调格式）'!O16</f>
        <v>700.099056603774</v>
      </c>
      <c r="C3" s="113">
        <v>0.06</v>
      </c>
      <c r="D3" s="112">
        <f>'5月人民币账单（已调格式）'!P16</f>
        <v>42.0059433962264</v>
      </c>
      <c r="E3" s="112">
        <f>B3+D3</f>
        <v>742.105</v>
      </c>
    </row>
    <row r="4" ht="15" spans="1:5">
      <c r="A4" s="111" t="s">
        <v>8</v>
      </c>
      <c r="B4" s="112">
        <f>'5月人民币账单（已调格式）'!S16</f>
        <v>990.566037735849</v>
      </c>
      <c r="C4" s="113">
        <v>0.06</v>
      </c>
      <c r="D4" s="112">
        <f>'5月人民币账单（已调格式）'!T16</f>
        <v>59.433962264151</v>
      </c>
      <c r="E4" s="112">
        <f>B4+D4</f>
        <v>1050</v>
      </c>
    </row>
    <row r="5" ht="15" spans="1:5">
      <c r="A5" s="111" t="s">
        <v>9</v>
      </c>
      <c r="B5" s="114">
        <f>B2+B3+B4</f>
        <v>11550.0600943396</v>
      </c>
      <c r="C5" s="115"/>
      <c r="D5" s="114">
        <f>D2+D3+D4</f>
        <v>101.439905660377</v>
      </c>
      <c r="E5" s="114">
        <f>E2+E3+E4</f>
        <v>11651.5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1"/>
  <sheetViews>
    <sheetView tabSelected="1" view="pageBreakPreview" zoomScale="85" zoomScaleNormal="85" topLeftCell="F1" workbookViewId="0">
      <pane ySplit="3" topLeftCell="A4" activePane="bottomLeft" state="frozen"/>
      <selection/>
      <selection pane="bottomLeft" activeCell="S4" sqref="S4:T14"/>
    </sheetView>
  </sheetViews>
  <sheetFormatPr defaultColWidth="9" defaultRowHeight="15.75"/>
  <cols>
    <col min="1" max="1" width="8.66371681415929" style="22" customWidth="1"/>
    <col min="2" max="2" width="17.7964601769912" style="23" customWidth="1"/>
    <col min="3" max="3" width="16.2035398230088" style="23" customWidth="1"/>
    <col min="4" max="4" width="24.141592920354" style="23" customWidth="1"/>
    <col min="5" max="5" width="13.5929203539823" style="23" customWidth="1"/>
    <col min="6" max="6" width="7.20353982300885" style="24" customWidth="1"/>
    <col min="7" max="7" width="7.20353982300885" style="23" customWidth="1"/>
    <col min="8" max="8" width="7.13274336283186" style="23" customWidth="1"/>
    <col min="9" max="9" width="6.86725663716814" style="23" customWidth="1"/>
    <col min="10" max="10" width="11.6371681415929" style="25" customWidth="1"/>
    <col min="11" max="11" width="7.66371681415929" style="26" customWidth="1"/>
    <col min="12" max="12" width="10" style="26" customWidth="1"/>
    <col min="13" max="13" width="7.66371681415929" style="26" customWidth="1"/>
    <col min="14" max="14" width="9.53097345132743" style="27" customWidth="1"/>
    <col min="15" max="15" width="11.6637168141593" style="24" customWidth="1"/>
    <col min="16" max="16" width="11.3362831858407" style="24" customWidth="1"/>
    <col min="17" max="18" width="11.8672566371681" style="24" customWidth="1"/>
    <col min="19" max="19" width="11.5309734513274" style="28" customWidth="1"/>
    <col min="20" max="20" width="10.6017699115044" style="27" customWidth="1"/>
    <col min="21" max="21" width="8.69911504424779" style="29" customWidth="1"/>
    <col min="22" max="22" width="9.66371681415929" style="29" customWidth="1"/>
    <col min="23" max="24" width="7.86725663716814" style="29" customWidth="1"/>
    <col min="25" max="25" width="10.5309734513274" style="29" customWidth="1"/>
    <col min="26" max="26" width="8.60176991150442" style="30" customWidth="1"/>
    <col min="27" max="27" width="13.3982300884956" style="30" customWidth="1"/>
    <col min="28" max="28" width="15.1858407079646" style="31" customWidth="1"/>
    <col min="29" max="29" width="10.4690265486726" style="31" customWidth="1"/>
    <col min="30" max="16384" width="9" style="31"/>
  </cols>
  <sheetData>
    <row r="1" ht="76.05" customHeight="1" spans="1:29">
      <c r="A1" s="32"/>
      <c r="C1" s="33" t="s">
        <v>10</v>
      </c>
      <c r="D1" s="33"/>
      <c r="E1" s="33"/>
      <c r="F1" s="33"/>
      <c r="G1" s="33"/>
      <c r="H1" s="33"/>
      <c r="I1" s="33"/>
      <c r="J1" s="34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s="16" customFormat="1" ht="21" customHeight="1" spans="1:29">
      <c r="A2" s="35" t="s">
        <v>11</v>
      </c>
      <c r="B2" s="36"/>
      <c r="C2" s="37"/>
      <c r="D2" s="37"/>
      <c r="E2" s="37"/>
      <c r="F2" s="38"/>
      <c r="G2" s="37"/>
      <c r="H2" s="38"/>
      <c r="I2" s="38"/>
      <c r="J2" s="39"/>
      <c r="K2" s="40"/>
      <c r="L2" s="40"/>
      <c r="M2" s="40"/>
      <c r="N2" s="41"/>
      <c r="O2" s="42" t="s">
        <v>12</v>
      </c>
      <c r="P2" s="42"/>
      <c r="Q2" s="43" t="s">
        <v>13</v>
      </c>
      <c r="R2" s="43"/>
      <c r="S2" s="42" t="s">
        <v>14</v>
      </c>
      <c r="T2" s="42"/>
      <c r="U2" s="43" t="s">
        <v>13</v>
      </c>
      <c r="V2" s="43"/>
      <c r="W2" s="43"/>
      <c r="X2" s="43"/>
      <c r="Y2" s="43"/>
      <c r="Z2" s="44"/>
      <c r="AA2" s="44"/>
    </row>
    <row r="3" s="17" customFormat="1" ht="73.05" customHeight="1" spans="1:29">
      <c r="A3" s="45" t="s">
        <v>15</v>
      </c>
      <c r="B3" s="46" t="s">
        <v>16</v>
      </c>
      <c r="C3" s="46" t="s">
        <v>17</v>
      </c>
      <c r="D3" s="46" t="s">
        <v>18</v>
      </c>
      <c r="E3" s="46" t="s">
        <v>19</v>
      </c>
      <c r="F3" s="47" t="s">
        <v>20</v>
      </c>
      <c r="G3" s="48" t="s">
        <v>21</v>
      </c>
      <c r="H3" s="48" t="s">
        <v>22</v>
      </c>
      <c r="I3" s="48" t="s">
        <v>23</v>
      </c>
      <c r="J3" s="49" t="s">
        <v>24</v>
      </c>
      <c r="K3" s="47" t="s">
        <v>25</v>
      </c>
      <c r="L3" s="50" t="s">
        <v>26</v>
      </c>
      <c r="M3" s="50" t="s">
        <v>27</v>
      </c>
      <c r="N3" s="51" t="s">
        <v>28</v>
      </c>
      <c r="O3" s="52" t="s">
        <v>12</v>
      </c>
      <c r="P3" s="52" t="s">
        <v>29</v>
      </c>
      <c r="Q3" s="52" t="s">
        <v>30</v>
      </c>
      <c r="R3" s="52" t="s">
        <v>31</v>
      </c>
      <c r="S3" s="53" t="s">
        <v>14</v>
      </c>
      <c r="T3" s="53" t="s">
        <v>32</v>
      </c>
      <c r="U3" s="46" t="s">
        <v>33</v>
      </c>
      <c r="V3" s="46" t="s">
        <v>34</v>
      </c>
      <c r="W3" s="46" t="s">
        <v>35</v>
      </c>
      <c r="X3" s="46" t="s">
        <v>36</v>
      </c>
      <c r="Y3" s="46" t="s">
        <v>37</v>
      </c>
      <c r="Z3" s="54" t="s">
        <v>38</v>
      </c>
      <c r="AA3" s="55" t="s">
        <v>39</v>
      </c>
      <c r="AB3" s="54" t="s">
        <v>40</v>
      </c>
    </row>
    <row r="4" s="18" customFormat="1" ht="18" customHeight="1" spans="1:29">
      <c r="A4" s="56">
        <v>46158</v>
      </c>
      <c r="B4" s="13" t="s">
        <v>41</v>
      </c>
      <c r="C4" s="57" t="s">
        <v>42</v>
      </c>
      <c r="D4" s="12" t="s">
        <v>43</v>
      </c>
      <c r="E4" s="13" t="s">
        <v>44</v>
      </c>
      <c r="F4" s="13">
        <v>8</v>
      </c>
      <c r="G4" s="58">
        <v>42</v>
      </c>
      <c r="H4" s="58">
        <v>44</v>
      </c>
      <c r="I4" s="58">
        <v>41</v>
      </c>
      <c r="J4" s="59">
        <v>117</v>
      </c>
      <c r="K4" s="60"/>
      <c r="L4" s="61">
        <f>K4*0.07/1.06</f>
        <v>0</v>
      </c>
      <c r="M4" s="61">
        <f>K4*0.35</f>
        <v>0</v>
      </c>
      <c r="N4" s="61">
        <f>K4*0.58</f>
        <v>0</v>
      </c>
      <c r="O4" s="61">
        <f>L4*J4</f>
        <v>0</v>
      </c>
      <c r="P4" s="61">
        <f>O4*0.06</f>
        <v>0</v>
      </c>
      <c r="Q4" s="61">
        <f>M4*J4</f>
        <v>0</v>
      </c>
      <c r="R4" s="61">
        <f>N4*J4</f>
        <v>0</v>
      </c>
      <c r="S4" s="62">
        <f>350/1.06</f>
        <v>330.188679245283</v>
      </c>
      <c r="T4" s="62">
        <f>S4*0.06</f>
        <v>19.811320754717</v>
      </c>
      <c r="U4" s="63"/>
      <c r="V4" s="64"/>
      <c r="W4" s="64"/>
      <c r="X4" s="64"/>
      <c r="Y4" s="64"/>
      <c r="Z4" s="15" t="s">
        <v>45</v>
      </c>
      <c r="AA4" s="15">
        <f>SUM(O4:Y4)</f>
        <v>350</v>
      </c>
      <c r="AB4" s="65"/>
    </row>
    <row r="5" s="18" customFormat="1" ht="18" customHeight="1" spans="1:29">
      <c r="A5" s="56">
        <v>46158</v>
      </c>
      <c r="B5" s="13" t="s">
        <v>46</v>
      </c>
      <c r="C5" s="57" t="s">
        <v>47</v>
      </c>
      <c r="D5" s="12" t="s">
        <v>43</v>
      </c>
      <c r="E5" s="13" t="s">
        <v>48</v>
      </c>
      <c r="F5" s="13">
        <v>1</v>
      </c>
      <c r="G5" s="58">
        <v>54</v>
      </c>
      <c r="H5" s="58">
        <v>33</v>
      </c>
      <c r="I5" s="58">
        <v>54</v>
      </c>
      <c r="J5" s="59">
        <v>16</v>
      </c>
      <c r="K5" s="60"/>
      <c r="L5" s="61">
        <f>K5*0.07/1.06</f>
        <v>0</v>
      </c>
      <c r="M5" s="61">
        <f>K5*0.35</f>
        <v>0</v>
      </c>
      <c r="N5" s="61">
        <f>K5*0.58</f>
        <v>0</v>
      </c>
      <c r="O5" s="61">
        <f>L5*J5</f>
        <v>0</v>
      </c>
      <c r="P5" s="61">
        <f>O5*0.06</f>
        <v>0</v>
      </c>
      <c r="Q5" s="61">
        <f>M5*J5</f>
        <v>0</v>
      </c>
      <c r="R5" s="61">
        <f>N5*J5</f>
        <v>0</v>
      </c>
      <c r="S5" s="66"/>
      <c r="T5" s="66"/>
      <c r="U5" s="63"/>
      <c r="V5" s="64"/>
      <c r="W5" s="64"/>
      <c r="X5" s="64"/>
      <c r="Y5" s="64"/>
      <c r="Z5" s="15" t="s">
        <v>45</v>
      </c>
      <c r="AA5" s="15">
        <f t="shared" ref="AA5:AA19" si="0">SUM(O5:Y5)</f>
        <v>0</v>
      </c>
      <c r="AB5" s="65"/>
    </row>
    <row r="6" s="18" customFormat="1" ht="18" customHeight="1" spans="1:29">
      <c r="A6" s="56">
        <v>46158</v>
      </c>
      <c r="B6" s="13" t="s">
        <v>46</v>
      </c>
      <c r="C6" s="57" t="s">
        <v>49</v>
      </c>
      <c r="D6" s="12" t="s">
        <v>43</v>
      </c>
      <c r="E6" s="13" t="s">
        <v>48</v>
      </c>
      <c r="F6" s="13">
        <v>12</v>
      </c>
      <c r="G6" s="58">
        <v>54</v>
      </c>
      <c r="H6" s="58">
        <v>33</v>
      </c>
      <c r="I6" s="58">
        <v>54</v>
      </c>
      <c r="J6" s="59">
        <v>192</v>
      </c>
      <c r="K6" s="60"/>
      <c r="L6" s="61">
        <f>K6*0.07/1.06</f>
        <v>0</v>
      </c>
      <c r="M6" s="61">
        <f>K6*0.35</f>
        <v>0</v>
      </c>
      <c r="N6" s="61">
        <f>K6*0.58</f>
        <v>0</v>
      </c>
      <c r="O6" s="61">
        <f>L6*J6</f>
        <v>0</v>
      </c>
      <c r="P6" s="61">
        <f>O6*0.06</f>
        <v>0</v>
      </c>
      <c r="Q6" s="61">
        <f>M6*J6</f>
        <v>0</v>
      </c>
      <c r="R6" s="61">
        <f>N6*J6</f>
        <v>0</v>
      </c>
      <c r="S6" s="66"/>
      <c r="T6" s="66"/>
      <c r="U6" s="63"/>
      <c r="V6" s="64"/>
      <c r="W6" s="64"/>
      <c r="X6" s="64"/>
      <c r="Y6" s="64"/>
      <c r="Z6" s="15" t="s">
        <v>45</v>
      </c>
      <c r="AA6" s="15">
        <f t="shared" si="0"/>
        <v>0</v>
      </c>
      <c r="AB6" s="65"/>
    </row>
    <row r="7" s="18" customFormat="1" ht="18" customHeight="1" spans="1:29">
      <c r="A7" s="56">
        <v>46158</v>
      </c>
      <c r="B7" s="13" t="s">
        <v>46</v>
      </c>
      <c r="C7" s="57" t="s">
        <v>50</v>
      </c>
      <c r="D7" s="12" t="s">
        <v>43</v>
      </c>
      <c r="E7" s="13" t="s">
        <v>48</v>
      </c>
      <c r="F7" s="13">
        <v>18</v>
      </c>
      <c r="G7" s="58">
        <v>54</v>
      </c>
      <c r="H7" s="58">
        <v>33</v>
      </c>
      <c r="I7" s="58">
        <v>54</v>
      </c>
      <c r="J7" s="59">
        <v>289</v>
      </c>
      <c r="K7" s="60"/>
      <c r="L7" s="61">
        <f>K7*0.07/1.06</f>
        <v>0</v>
      </c>
      <c r="M7" s="61">
        <f>K7*0.35</f>
        <v>0</v>
      </c>
      <c r="N7" s="61">
        <f>K7*0.58</f>
        <v>0</v>
      </c>
      <c r="O7" s="61">
        <f>L7*J7</f>
        <v>0</v>
      </c>
      <c r="P7" s="61">
        <f>O7*0.06</f>
        <v>0</v>
      </c>
      <c r="Q7" s="61">
        <f>M7*J7</f>
        <v>0</v>
      </c>
      <c r="R7" s="61">
        <f>N7*J7</f>
        <v>0</v>
      </c>
      <c r="S7" s="66"/>
      <c r="T7" s="66"/>
      <c r="U7" s="63"/>
      <c r="V7" s="64"/>
      <c r="W7" s="64"/>
      <c r="X7" s="64"/>
      <c r="Y7" s="64"/>
      <c r="Z7" s="15" t="s">
        <v>45</v>
      </c>
      <c r="AA7" s="15">
        <f t="shared" si="0"/>
        <v>0</v>
      </c>
      <c r="AB7" s="65"/>
    </row>
    <row r="8" s="18" customFormat="1" ht="18" customHeight="1" spans="1:29">
      <c r="A8" s="56">
        <v>46158</v>
      </c>
      <c r="B8" s="13" t="s">
        <v>46</v>
      </c>
      <c r="C8" s="57" t="s">
        <v>51</v>
      </c>
      <c r="D8" s="12" t="s">
        <v>43</v>
      </c>
      <c r="E8" s="13" t="s">
        <v>48</v>
      </c>
      <c r="F8" s="13">
        <v>10</v>
      </c>
      <c r="G8" s="58">
        <v>42</v>
      </c>
      <c r="H8" s="58">
        <v>44</v>
      </c>
      <c r="I8" s="58">
        <v>41</v>
      </c>
      <c r="J8" s="59">
        <v>146</v>
      </c>
      <c r="K8" s="60"/>
      <c r="L8" s="61">
        <f>K8*0.07/1.06</f>
        <v>0</v>
      </c>
      <c r="M8" s="61">
        <f>K8*0.35</f>
        <v>0</v>
      </c>
      <c r="N8" s="61">
        <f>K8*0.58</f>
        <v>0</v>
      </c>
      <c r="O8" s="61">
        <f>L8*J8</f>
        <v>0</v>
      </c>
      <c r="P8" s="61">
        <f>O8*0.06</f>
        <v>0</v>
      </c>
      <c r="Q8" s="61">
        <f>M8*J8</f>
        <v>0</v>
      </c>
      <c r="R8" s="61">
        <f>N8*J8</f>
        <v>0</v>
      </c>
      <c r="S8" s="66"/>
      <c r="T8" s="66"/>
      <c r="U8" s="63"/>
      <c r="V8" s="64"/>
      <c r="W8" s="64"/>
      <c r="X8" s="64"/>
      <c r="Y8" s="64"/>
      <c r="Z8" s="15" t="s">
        <v>45</v>
      </c>
      <c r="AA8" s="15">
        <f t="shared" si="0"/>
        <v>0</v>
      </c>
      <c r="AB8" s="65"/>
    </row>
    <row r="9" s="18" customFormat="1" ht="18" customHeight="1" spans="1:29">
      <c r="A9" s="56">
        <v>46158</v>
      </c>
      <c r="B9" s="13" t="s">
        <v>52</v>
      </c>
      <c r="C9" s="57" t="s">
        <v>53</v>
      </c>
      <c r="D9" s="12" t="s">
        <v>43</v>
      </c>
      <c r="E9" s="13" t="s">
        <v>54</v>
      </c>
      <c r="F9" s="13">
        <v>4</v>
      </c>
      <c r="G9" s="58">
        <v>43</v>
      </c>
      <c r="H9" s="58">
        <v>47</v>
      </c>
      <c r="I9" s="58">
        <v>43</v>
      </c>
      <c r="J9" s="59">
        <v>65</v>
      </c>
      <c r="K9" s="60"/>
      <c r="L9" s="61">
        <f>K9*0.07/1.06</f>
        <v>0</v>
      </c>
      <c r="M9" s="61">
        <f>K9*0.35</f>
        <v>0</v>
      </c>
      <c r="N9" s="61">
        <f>K9*0.58</f>
        <v>0</v>
      </c>
      <c r="O9" s="61">
        <f>L9*J9</f>
        <v>0</v>
      </c>
      <c r="P9" s="61">
        <f>O9*0.06</f>
        <v>0</v>
      </c>
      <c r="Q9" s="61">
        <f>M9*J9</f>
        <v>0</v>
      </c>
      <c r="R9" s="61">
        <f>N9*J9</f>
        <v>0</v>
      </c>
      <c r="S9" s="66"/>
      <c r="T9" s="66"/>
      <c r="U9" s="63"/>
      <c r="V9" s="64"/>
      <c r="W9" s="64"/>
      <c r="X9" s="64"/>
      <c r="Y9" s="64"/>
      <c r="Z9" s="15" t="s">
        <v>45</v>
      </c>
      <c r="AA9" s="15">
        <f t="shared" si="0"/>
        <v>0</v>
      </c>
      <c r="AB9" s="65"/>
    </row>
    <row r="10" s="18" customFormat="1" ht="18" customHeight="1" spans="1:29">
      <c r="A10" s="56">
        <v>46158</v>
      </c>
      <c r="B10" s="13" t="s">
        <v>55</v>
      </c>
      <c r="C10" s="57" t="s">
        <v>56</v>
      </c>
      <c r="D10" s="12" t="s">
        <v>43</v>
      </c>
      <c r="E10" s="13" t="s">
        <v>57</v>
      </c>
      <c r="F10" s="13">
        <v>2</v>
      </c>
      <c r="G10" s="58">
        <v>44</v>
      </c>
      <c r="H10" s="58">
        <v>48</v>
      </c>
      <c r="I10" s="58">
        <v>43</v>
      </c>
      <c r="J10" s="59">
        <v>32</v>
      </c>
      <c r="K10" s="60"/>
      <c r="L10" s="61">
        <f>K10*0.07/1.06</f>
        <v>0</v>
      </c>
      <c r="M10" s="61">
        <f>K10*0.35</f>
        <v>0</v>
      </c>
      <c r="N10" s="61">
        <f>K10*0.58</f>
        <v>0</v>
      </c>
      <c r="O10" s="61">
        <f>L10*J10</f>
        <v>0</v>
      </c>
      <c r="P10" s="61">
        <f>O10*0.06</f>
        <v>0</v>
      </c>
      <c r="Q10" s="61">
        <f>M10*J10</f>
        <v>0</v>
      </c>
      <c r="R10" s="61">
        <f>N10*J10</f>
        <v>0</v>
      </c>
      <c r="S10" s="66"/>
      <c r="T10" s="66"/>
      <c r="U10" s="63"/>
      <c r="V10" s="64"/>
      <c r="W10" s="64"/>
      <c r="X10" s="64"/>
      <c r="Y10" s="64"/>
      <c r="Z10" s="15" t="s">
        <v>45</v>
      </c>
      <c r="AA10" s="15">
        <f t="shared" si="0"/>
        <v>0</v>
      </c>
      <c r="AB10" s="65"/>
    </row>
    <row r="11" s="18" customFormat="1" ht="18" customHeight="1" spans="1:29">
      <c r="A11" s="56">
        <v>46158</v>
      </c>
      <c r="B11" s="13" t="s">
        <v>58</v>
      </c>
      <c r="C11" s="57" t="s">
        <v>59</v>
      </c>
      <c r="D11" s="12" t="s">
        <v>43</v>
      </c>
      <c r="E11" s="13" t="s">
        <v>60</v>
      </c>
      <c r="F11" s="13">
        <v>3</v>
      </c>
      <c r="G11" s="58">
        <v>44</v>
      </c>
      <c r="H11" s="58">
        <v>47</v>
      </c>
      <c r="I11" s="58">
        <v>43</v>
      </c>
      <c r="J11" s="59">
        <v>49</v>
      </c>
      <c r="K11" s="60"/>
      <c r="L11" s="61">
        <f>K11*0.07/1.06</f>
        <v>0</v>
      </c>
      <c r="M11" s="61">
        <f>K11*0.35</f>
        <v>0</v>
      </c>
      <c r="N11" s="61">
        <f>K11*0.58</f>
        <v>0</v>
      </c>
      <c r="O11" s="61">
        <f>L11*J11</f>
        <v>0</v>
      </c>
      <c r="P11" s="61">
        <f>O11*0.06</f>
        <v>0</v>
      </c>
      <c r="Q11" s="61">
        <f>M11*J11</f>
        <v>0</v>
      </c>
      <c r="R11" s="61">
        <f>N11*J11</f>
        <v>0</v>
      </c>
      <c r="S11" s="67"/>
      <c r="T11" s="67"/>
      <c r="U11" s="63"/>
      <c r="V11" s="64"/>
      <c r="W11" s="64"/>
      <c r="X11" s="64"/>
      <c r="Y11" s="64"/>
      <c r="Z11" s="15" t="s">
        <v>45</v>
      </c>
      <c r="AA11" s="15">
        <f t="shared" si="0"/>
        <v>0</v>
      </c>
      <c r="AB11" s="65"/>
    </row>
    <row r="12" s="18" customFormat="1" ht="18" customHeight="1" spans="1:29">
      <c r="A12" s="56">
        <v>46158</v>
      </c>
      <c r="B12" s="13" t="s">
        <v>61</v>
      </c>
      <c r="C12" s="57" t="s">
        <v>62</v>
      </c>
      <c r="D12" s="12" t="s">
        <v>63</v>
      </c>
      <c r="E12" s="13" t="s">
        <v>64</v>
      </c>
      <c r="F12" s="13">
        <v>15</v>
      </c>
      <c r="G12" s="58">
        <v>59</v>
      </c>
      <c r="H12" s="58">
        <v>47</v>
      </c>
      <c r="I12" s="58">
        <v>50</v>
      </c>
      <c r="J12" s="59">
        <v>347</v>
      </c>
      <c r="K12" s="60">
        <v>13</v>
      </c>
      <c r="L12" s="61">
        <f>K12*0.07/1.06</f>
        <v>0.858490566037736</v>
      </c>
      <c r="M12" s="61">
        <f>K12*0.35</f>
        <v>4.55</v>
      </c>
      <c r="N12" s="61">
        <f>K12*0.58</f>
        <v>7.54</v>
      </c>
      <c r="O12" s="61">
        <f>L12*J12</f>
        <v>297.896226415094</v>
      </c>
      <c r="P12" s="61">
        <f>O12*0.06</f>
        <v>17.8737735849057</v>
      </c>
      <c r="Q12" s="61">
        <f>M12*J12</f>
        <v>1578.85</v>
      </c>
      <c r="R12" s="61">
        <f>N12*J12</f>
        <v>2616.38</v>
      </c>
      <c r="S12" s="62">
        <f t="shared" ref="S12:S14" si="1">350/1.06</f>
        <v>330.188679245283</v>
      </c>
      <c r="T12" s="62">
        <f t="shared" ref="T12:T14" si="2">S12*0.06</f>
        <v>19.811320754717</v>
      </c>
      <c r="U12" s="63"/>
      <c r="V12" s="64"/>
      <c r="W12" s="64"/>
      <c r="X12" s="64"/>
      <c r="Y12" s="64"/>
      <c r="Z12" s="15" t="s">
        <v>45</v>
      </c>
      <c r="AA12" s="15">
        <f t="shared" si="0"/>
        <v>4861</v>
      </c>
      <c r="AB12" s="65"/>
    </row>
    <row r="13" s="18" customFormat="1" ht="18" customHeight="1" spans="1:29">
      <c r="A13" s="56">
        <v>46158</v>
      </c>
      <c r="B13" s="13" t="s">
        <v>61</v>
      </c>
      <c r="C13" s="57" t="s">
        <v>65</v>
      </c>
      <c r="D13" s="12" t="s">
        <v>63</v>
      </c>
      <c r="E13" s="13" t="s">
        <v>64</v>
      </c>
      <c r="F13" s="13">
        <v>15</v>
      </c>
      <c r="G13" s="58">
        <v>59</v>
      </c>
      <c r="H13" s="58">
        <v>47</v>
      </c>
      <c r="I13" s="58">
        <v>50</v>
      </c>
      <c r="J13" s="59">
        <v>347</v>
      </c>
      <c r="K13" s="60">
        <v>13</v>
      </c>
      <c r="L13" s="61">
        <f>K13*0.07/1.06</f>
        <v>0.858490566037736</v>
      </c>
      <c r="M13" s="61">
        <f>K13*0.35</f>
        <v>4.55</v>
      </c>
      <c r="N13" s="61">
        <f>K13*0.58</f>
        <v>7.54</v>
      </c>
      <c r="O13" s="61">
        <f>L13*J13</f>
        <v>297.896226415094</v>
      </c>
      <c r="P13" s="61">
        <f>O13*0.06</f>
        <v>17.8737735849057</v>
      </c>
      <c r="Q13" s="61">
        <f>M13*J13</f>
        <v>1578.85</v>
      </c>
      <c r="R13" s="61">
        <f>N13*J13</f>
        <v>2616.38</v>
      </c>
      <c r="S13" s="66"/>
      <c r="T13" s="66"/>
      <c r="U13" s="63"/>
      <c r="V13" s="64"/>
      <c r="W13" s="64"/>
      <c r="X13" s="64"/>
      <c r="Y13" s="64"/>
      <c r="Z13" s="15" t="s">
        <v>45</v>
      </c>
      <c r="AA13" s="15">
        <f t="shared" si="0"/>
        <v>4511</v>
      </c>
      <c r="AB13" s="65"/>
    </row>
    <row r="14" s="18" customFormat="1" ht="18" customHeight="1" spans="1:29">
      <c r="A14" s="56">
        <v>46158</v>
      </c>
      <c r="B14" s="13" t="s">
        <v>66</v>
      </c>
      <c r="C14" s="57" t="s">
        <v>67</v>
      </c>
      <c r="D14" s="12" t="s">
        <v>68</v>
      </c>
      <c r="E14" s="13" t="s">
        <v>69</v>
      </c>
      <c r="F14" s="13">
        <v>8</v>
      </c>
      <c r="G14" s="58">
        <v>42</v>
      </c>
      <c r="H14" s="58">
        <v>44</v>
      </c>
      <c r="I14" s="58">
        <v>41</v>
      </c>
      <c r="J14" s="59">
        <v>117</v>
      </c>
      <c r="K14" s="60">
        <v>13.5</v>
      </c>
      <c r="L14" s="61">
        <f>K14*0.07/1.06</f>
        <v>0.891509433962264</v>
      </c>
      <c r="M14" s="61">
        <f>K14*0.35</f>
        <v>4.725</v>
      </c>
      <c r="N14" s="61">
        <f>K14*0.58</f>
        <v>7.83</v>
      </c>
      <c r="O14" s="61">
        <f>L14*J14</f>
        <v>104.306603773585</v>
      </c>
      <c r="P14" s="61">
        <f>O14*0.06</f>
        <v>6.25839622641509</v>
      </c>
      <c r="Q14" s="61">
        <f>M14*J14</f>
        <v>552.825</v>
      </c>
      <c r="R14" s="61">
        <f>N14*J14</f>
        <v>916.11</v>
      </c>
      <c r="S14" s="62">
        <f t="shared" si="1"/>
        <v>330.188679245283</v>
      </c>
      <c r="T14" s="62">
        <f t="shared" si="2"/>
        <v>19.811320754717</v>
      </c>
      <c r="U14" s="63"/>
      <c r="V14" s="64"/>
      <c r="W14" s="64"/>
      <c r="X14" s="64"/>
      <c r="Y14" s="64"/>
      <c r="Z14" s="15" t="s">
        <v>45</v>
      </c>
      <c r="AA14" s="15">
        <f t="shared" si="0"/>
        <v>1929.5</v>
      </c>
      <c r="AB14" s="65"/>
    </row>
    <row r="15" s="18" customFormat="1" ht="18" customHeight="1" spans="1:29">
      <c r="A15" s="68"/>
      <c r="B15" s="69"/>
      <c r="C15" s="69"/>
      <c r="D15" s="70"/>
      <c r="E15" s="69"/>
      <c r="F15" s="69"/>
      <c r="G15" s="71"/>
      <c r="H15" s="71"/>
      <c r="I15" s="71"/>
      <c r="J15" s="72"/>
      <c r="K15" s="73"/>
      <c r="L15" s="61"/>
      <c r="M15" s="61"/>
      <c r="N15" s="61"/>
      <c r="O15" s="61"/>
      <c r="P15" s="61"/>
      <c r="Q15" s="61"/>
      <c r="R15" s="61"/>
      <c r="S15" s="63"/>
      <c r="T15" s="63"/>
      <c r="U15" s="63"/>
      <c r="V15" s="64"/>
      <c r="W15" s="64"/>
      <c r="X15" s="64"/>
      <c r="Y15" s="64"/>
      <c r="Z15" s="15"/>
      <c r="AA15" s="15"/>
      <c r="AB15" s="65"/>
    </row>
    <row r="16" s="19" customFormat="1" ht="25.25" customHeight="1" spans="1:29">
      <c r="A16" s="74"/>
      <c r="B16" s="75" t="s">
        <v>4</v>
      </c>
      <c r="C16" s="75"/>
      <c r="D16" s="75"/>
      <c r="E16" s="75"/>
      <c r="F16" s="76">
        <f>SUM(F4:F15)</f>
        <v>96</v>
      </c>
      <c r="G16" s="77"/>
      <c r="H16" s="77"/>
      <c r="I16" s="77"/>
      <c r="J16" s="76">
        <f>SUM(J4:J15)</f>
        <v>1717</v>
      </c>
      <c r="K16" s="78"/>
      <c r="L16" s="79"/>
      <c r="M16" s="79"/>
      <c r="N16" s="80"/>
      <c r="O16" s="78">
        <f t="shared" ref="O16:Y16" si="3">SUM(O4:O15)</f>
        <v>700.099056603774</v>
      </c>
      <c r="P16" s="78">
        <f t="shared" si="3"/>
        <v>42.0059433962264</v>
      </c>
      <c r="Q16" s="78">
        <f t="shared" si="3"/>
        <v>3710.525</v>
      </c>
      <c r="R16" s="78">
        <f t="shared" si="3"/>
        <v>6148.87</v>
      </c>
      <c r="S16" s="78">
        <f t="shared" si="3"/>
        <v>990.566037735849</v>
      </c>
      <c r="T16" s="78">
        <f t="shared" si="3"/>
        <v>59.433962264151</v>
      </c>
      <c r="U16" s="78">
        <f t="shared" si="3"/>
        <v>0</v>
      </c>
      <c r="V16" s="76">
        <f t="shared" si="3"/>
        <v>0</v>
      </c>
      <c r="W16" s="76">
        <f t="shared" si="3"/>
        <v>0</v>
      </c>
      <c r="X16" s="76">
        <f t="shared" si="3"/>
        <v>0</v>
      </c>
      <c r="Y16" s="81">
        <f t="shared" si="3"/>
        <v>0</v>
      </c>
      <c r="Z16" s="82"/>
      <c r="AA16" s="78">
        <f>SUM(AA4:AA15)</f>
        <v>11651.5</v>
      </c>
      <c r="AB16" s="65"/>
      <c r="AC16" s="83"/>
    </row>
    <row r="17" ht="25.25" customHeight="1" spans="1:28">
      <c r="O17" s="84"/>
      <c r="W17" s="85" t="s">
        <v>4</v>
      </c>
      <c r="X17" s="85"/>
      <c r="Y17" s="85" t="s">
        <v>70</v>
      </c>
      <c r="Z17" s="85" t="s">
        <v>45</v>
      </c>
      <c r="AA17" s="86">
        <f>AA16</f>
        <v>11651.5</v>
      </c>
      <c r="AB17" s="65"/>
    </row>
    <row r="18" s="17" customFormat="1" ht="21" customHeight="1" spans="1:28">
      <c r="A18" s="87" t="s">
        <v>71</v>
      </c>
      <c r="B18" s="88"/>
      <c r="C18" s="89"/>
      <c r="D18" s="89"/>
      <c r="E18" s="89"/>
      <c r="G18" s="89"/>
      <c r="H18" s="89"/>
      <c r="I18" s="89"/>
      <c r="J18" s="90"/>
      <c r="K18" s="91"/>
      <c r="L18" s="91"/>
      <c r="M18" s="91"/>
      <c r="N18" s="92"/>
      <c r="S18" s="93"/>
      <c r="T18" s="92"/>
      <c r="U18" s="94"/>
      <c r="V18" s="94"/>
      <c r="W18" s="94"/>
      <c r="X18" s="94"/>
      <c r="Y18" s="94"/>
      <c r="Z18" s="95"/>
      <c r="AA18" s="95"/>
      <c r="AB18" s="96"/>
    </row>
    <row r="19" s="20" customFormat="1" ht="111" customHeight="1" spans="1:28">
      <c r="A19" s="97" t="s">
        <v>72</v>
      </c>
      <c r="B19" s="98"/>
      <c r="C19" s="98"/>
      <c r="D19" s="98"/>
      <c r="E19" s="98"/>
      <c r="F19" s="98"/>
      <c r="G19" s="98"/>
      <c r="H19" s="98"/>
      <c r="I19" s="98"/>
      <c r="J19" s="99"/>
      <c r="K19" s="100"/>
      <c r="L19" s="100"/>
      <c r="M19" s="100"/>
      <c r="N19" s="101"/>
      <c r="S19" s="102"/>
      <c r="T19" s="101"/>
      <c r="U19" s="103"/>
      <c r="V19" s="103"/>
      <c r="W19" s="104"/>
      <c r="X19" s="104"/>
      <c r="Y19" s="104"/>
      <c r="Z19" s="104"/>
      <c r="AA19" s="105"/>
    </row>
    <row r="20" s="17" customFormat="1" ht="20" customHeight="1" spans="1:28">
      <c r="A20" s="106" t="s">
        <v>73</v>
      </c>
      <c r="B20" s="107"/>
      <c r="C20" s="107"/>
      <c r="D20" s="108"/>
      <c r="E20" s="108"/>
      <c r="F20" s="108"/>
      <c r="G20" s="108"/>
      <c r="H20" s="108"/>
      <c r="I20" s="108"/>
      <c r="J20" s="90"/>
      <c r="K20" s="91"/>
      <c r="L20" s="91"/>
      <c r="M20" s="91"/>
      <c r="N20" s="92"/>
      <c r="S20" s="93"/>
      <c r="T20" s="92"/>
      <c r="U20" s="94"/>
      <c r="V20" s="94"/>
      <c r="W20" s="94"/>
      <c r="X20" s="94"/>
      <c r="Y20" s="94"/>
      <c r="Z20" s="95"/>
      <c r="AA20" s="95"/>
    </row>
    <row r="21" s="21" customFormat="1" ht="12" customHeight="1" spans="1:28">
      <c r="A21" s="109"/>
      <c r="B21" s="89"/>
      <c r="C21" s="89"/>
      <c r="D21" s="89"/>
      <c r="E21" s="89"/>
      <c r="F21" s="17"/>
      <c r="G21" s="89"/>
      <c r="H21" s="89"/>
      <c r="I21" s="89"/>
      <c r="J21" s="90"/>
      <c r="K21" s="91"/>
      <c r="L21" s="91"/>
      <c r="M21" s="91"/>
      <c r="N21" s="92"/>
      <c r="O21" s="17"/>
      <c r="P21" s="17"/>
      <c r="Q21" s="17"/>
      <c r="R21" s="17"/>
      <c r="S21" s="93"/>
      <c r="T21" s="92"/>
      <c r="U21" s="94"/>
      <c r="V21" s="94"/>
      <c r="W21" s="94"/>
      <c r="X21" s="94"/>
      <c r="Y21" s="94"/>
      <c r="Z21" s="95"/>
      <c r="AA21" s="95"/>
    </row>
  </sheetData>
  <autoFilter xmlns:etc="http://www.wps.cn/officeDocument/2017/etCustomData" ref="A3:AC20" etc:filterBottomFollowUsedRange="0">
    <extLst/>
  </autoFilter>
  <mergeCells count="14">
    <mergeCell ref="C1:AA1"/>
    <mergeCell ref="O2:P2"/>
    <mergeCell ref="Q2:R2"/>
    <mergeCell ref="S2:T2"/>
    <mergeCell ref="U2:Y2"/>
    <mergeCell ref="B16:E16"/>
    <mergeCell ref="G16:I16"/>
    <mergeCell ref="W17:Y17"/>
    <mergeCell ref="A19:D19"/>
    <mergeCell ref="W19:Z19"/>
    <mergeCell ref="S4:S11"/>
    <mergeCell ref="S12:S13"/>
    <mergeCell ref="T4:T11"/>
    <mergeCell ref="T12:T13"/>
  </mergeCells>
  <conditionalFormatting sqref="C15">
    <cfRule type="duplicateValues" dxfId="0" priority="1"/>
  </conditionalFormatting>
  <conditionalFormatting sqref="C4:C14">
    <cfRule type="duplicateValues" dxfId="0" priority="38"/>
  </conditionalFormatting>
  <printOptions horizontalCentered="1" verticalCentered="1"/>
  <pageMargins left="0" right="0" top="0.314583333333333" bottom="0.196527777777778" header="0" footer="0.0784722222222222"/>
  <pageSetup paperSize="9" scale="60" orientation="landscape"/>
  <headerFooter alignWithMargins="0" scaleWithDoc="0">
    <oddFooter>&amp;C第 &amp;P 页，共 &amp;N 页</oddFooter>
  </headerFooter>
  <rowBreaks count="1" manualBreakCount="1">
    <brk id="21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view="pageBreakPreview" zoomScale="115" zoomScaleNormal="100" workbookViewId="0">
      <selection activeCell="E4" sqref="E4:E10"/>
    </sheetView>
  </sheetViews>
  <sheetFormatPr defaultColWidth="9" defaultRowHeight="13.5" outlineLevelCol="7"/>
  <cols>
    <col min="1" max="1" width="12" style="2" customWidth="1"/>
    <col min="2" max="2" width="18" style="3" customWidth="1"/>
    <col min="3" max="3" width="22.3982300884956" style="4" customWidth="1"/>
    <col min="4" max="4" width="12.7964601769912" style="4" customWidth="1"/>
    <col min="5" max="5" width="9.38938053097345" style="2"/>
    <col min="6" max="6" width="13.2035398230088" style="2" customWidth="1"/>
    <col min="7" max="8" width="9" style="2"/>
    <col min="10" max="16384" width="9" style="2"/>
  </cols>
  <sheetData>
    <row r="1" spans="1:8">
      <c r="A1" s="5"/>
      <c r="B1" s="5"/>
      <c r="C1" s="6"/>
      <c r="D1" s="6"/>
      <c r="F1" s="5"/>
    </row>
    <row r="2" ht="15" spans="1:8">
      <c r="A2" s="7" t="s">
        <v>74</v>
      </c>
      <c r="B2" s="7"/>
      <c r="C2" s="7"/>
      <c r="D2" s="7"/>
      <c r="E2" s="7"/>
      <c r="F2" s="7"/>
      <c r="G2" s="7"/>
      <c r="H2" s="7"/>
    </row>
    <row r="3" ht="28.25" customHeight="1" spans="1:8">
      <c r="A3" s="8" t="s">
        <v>75</v>
      </c>
      <c r="B3" s="8" t="s">
        <v>76</v>
      </c>
      <c r="C3" s="8" t="s">
        <v>77</v>
      </c>
      <c r="D3" s="8" t="s">
        <v>78</v>
      </c>
      <c r="E3" s="9" t="s">
        <v>25</v>
      </c>
      <c r="F3" s="9" t="s">
        <v>79</v>
      </c>
      <c r="G3" s="9" t="s">
        <v>80</v>
      </c>
      <c r="H3" s="9" t="s">
        <v>81</v>
      </c>
    </row>
    <row r="4" s="1" customFormat="1" ht="28.25" customHeight="1" spans="1:8">
      <c r="A4" s="10">
        <v>5</v>
      </c>
      <c r="B4" s="11" t="s">
        <v>82</v>
      </c>
      <c r="C4" s="12" t="s">
        <v>63</v>
      </c>
      <c r="D4" s="13" t="s">
        <v>64</v>
      </c>
      <c r="E4" s="14">
        <v>13</v>
      </c>
      <c r="F4" s="15">
        <f>E4*0.07/1.06</f>
        <v>0.858490566037736</v>
      </c>
      <c r="G4" s="15">
        <f>E4*0.35</f>
        <v>4.55</v>
      </c>
      <c r="H4" s="15">
        <f>E4*0.58</f>
        <v>7.54</v>
      </c>
    </row>
    <row r="5" s="1" customFormat="1" ht="28.25" customHeight="1" spans="1:8">
      <c r="A5" s="10">
        <v>5</v>
      </c>
      <c r="B5" s="11" t="s">
        <v>82</v>
      </c>
      <c r="C5" s="12" t="s">
        <v>68</v>
      </c>
      <c r="D5" s="13" t="s">
        <v>69</v>
      </c>
      <c r="E5" s="14">
        <v>13.5</v>
      </c>
      <c r="F5" s="15">
        <f>E5*0.07/1.06</f>
        <v>0.891509433962264</v>
      </c>
      <c r="G5" s="15">
        <f>E5*0.35</f>
        <v>4.725</v>
      </c>
      <c r="H5" s="15">
        <f>E5*0.58</f>
        <v>7.83</v>
      </c>
    </row>
    <row r="6" s="1" customFormat="1" ht="28.25" customHeight="1" spans="1:8">
      <c r="A6" s="10">
        <v>5</v>
      </c>
      <c r="B6" s="11" t="s">
        <v>82</v>
      </c>
      <c r="C6" s="12" t="s">
        <v>43</v>
      </c>
      <c r="D6" s="13" t="s">
        <v>44</v>
      </c>
      <c r="E6" s="14">
        <v>12.2</v>
      </c>
      <c r="F6" s="15">
        <f>E6*0.07/1.06</f>
        <v>0.80566037735849</v>
      </c>
      <c r="G6" s="15">
        <f>E6*0.35</f>
        <v>4.27</v>
      </c>
      <c r="H6" s="15">
        <f>E6*0.58</f>
        <v>7.076</v>
      </c>
    </row>
    <row r="7" s="1" customFormat="1" ht="28.25" customHeight="1" spans="1:8">
      <c r="A7" s="10">
        <v>5</v>
      </c>
      <c r="B7" s="11" t="s">
        <v>82</v>
      </c>
      <c r="C7" s="12" t="s">
        <v>43</v>
      </c>
      <c r="D7" s="13" t="s">
        <v>48</v>
      </c>
      <c r="E7" s="14">
        <v>10.4</v>
      </c>
      <c r="F7" s="15">
        <f>E7*0.07/1.06</f>
        <v>0.686792452830189</v>
      </c>
      <c r="G7" s="15">
        <f>E7*0.35</f>
        <v>3.64</v>
      </c>
      <c r="H7" s="15">
        <f>E7*0.58</f>
        <v>6.032</v>
      </c>
    </row>
    <row r="8" s="1" customFormat="1" ht="28.25" customHeight="1" spans="1:8">
      <c r="A8" s="10">
        <v>5</v>
      </c>
      <c r="B8" s="11" t="s">
        <v>82</v>
      </c>
      <c r="C8" s="12" t="s">
        <v>43</v>
      </c>
      <c r="D8" s="13" t="s">
        <v>54</v>
      </c>
      <c r="E8" s="14">
        <v>13.7</v>
      </c>
      <c r="F8" s="15">
        <f>E8*0.07/1.06</f>
        <v>0.904716981132076</v>
      </c>
      <c r="G8" s="15">
        <f>E8*0.35</f>
        <v>4.795</v>
      </c>
      <c r="H8" s="15">
        <f>E8*0.58</f>
        <v>7.946</v>
      </c>
    </row>
    <row r="9" s="1" customFormat="1" ht="28.25" customHeight="1" spans="1:8">
      <c r="A9" s="10">
        <v>5</v>
      </c>
      <c r="B9" s="11" t="s">
        <v>82</v>
      </c>
      <c r="C9" s="12" t="s">
        <v>43</v>
      </c>
      <c r="D9" s="13" t="s">
        <v>57</v>
      </c>
      <c r="E9" s="14">
        <v>9.6</v>
      </c>
      <c r="F9" s="15">
        <f>E9*0.07/1.06</f>
        <v>0.633962264150943</v>
      </c>
      <c r="G9" s="15">
        <f>E9*0.35</f>
        <v>3.36</v>
      </c>
      <c r="H9" s="15">
        <f>E9*0.58</f>
        <v>5.568</v>
      </c>
    </row>
    <row r="10" s="1" customFormat="1" ht="28.25" customHeight="1" spans="1:8">
      <c r="A10" s="10">
        <v>5</v>
      </c>
      <c r="B10" s="11" t="s">
        <v>82</v>
      </c>
      <c r="C10" s="12" t="s">
        <v>43</v>
      </c>
      <c r="D10" s="13" t="s">
        <v>60</v>
      </c>
      <c r="E10" s="14">
        <v>10.4</v>
      </c>
      <c r="F10" s="15">
        <f>E10*0.07/1.06</f>
        <v>0.686792452830189</v>
      </c>
      <c r="G10" s="15">
        <f>E10*0.35</f>
        <v>3.64</v>
      </c>
      <c r="H10" s="15">
        <f>E10*0.58</f>
        <v>6.032</v>
      </c>
    </row>
  </sheetData>
  <autoFilter xmlns:etc="http://www.wps.cn/officeDocument/2017/etCustomData" ref="A3:I10" etc:filterBottomFollowUsedRange="0">
    <extLst/>
  </autoFilter>
  <mergeCells count="1">
    <mergeCell ref="A2:H2"/>
  </mergeCells>
  <printOptions horizontalCentered="1"/>
  <pageMargins left="0.078740157480315" right="0.078740157480315" top="0.590551181102362" bottom="0.590551181102362" header="0.511811023622047" footer="0.511811023622047"/>
  <pageSetup paperSize="9" scale="5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开票金额</vt:lpstr>
      <vt:lpstr>5月人民币账单（已调格式）</vt:lpstr>
      <vt:lpstr>报价表A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</dc:creator>
  <cp:lastModifiedBy>Lacey</cp:lastModifiedBy>
  <dcterms:created xsi:type="dcterms:W3CDTF">2023-10-07T02:27:00Z</dcterms:created>
  <cp:lastPrinted>2025-09-24T06:55:00Z</cp:lastPrinted>
  <dcterms:modified xsi:type="dcterms:W3CDTF">2026-05-18T09:58:42Z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D44D6CAA907C4D35AE8445188DE574E1_13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